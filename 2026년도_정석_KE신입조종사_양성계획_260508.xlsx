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kau365-my.sharepoint.com/personal/flying325_kau_ac_kr/Documents/1. 훈련스케쥴/훈련일정/"/>
    </mc:Choice>
  </mc:AlternateContent>
  <xr:revisionPtr revIDLastSave="755" documentId="8_{72FC1E66-973D-4AD0-AA1F-E7CC23AA3234}" xr6:coauthVersionLast="47" xr6:coauthVersionMax="47" xr10:uidLastSave="{C2202B31-508F-4C59-89A4-F5BC51837F9C}"/>
  <bookViews>
    <workbookView xWindow="-120" yWindow="-120" windowWidth="16440" windowHeight="28320" xr2:uid="{3E0E7BF4-7628-4EAB-BFC5-56ED165855AA}"/>
  </bookViews>
  <sheets>
    <sheet name="260507" sheetId="15" r:id="rId1"/>
    <sheet name="260406" sheetId="14" r:id="rId2"/>
    <sheet name="260311" sheetId="13" r:id="rId3"/>
    <sheet name="260220" sheetId="12" r:id="rId4"/>
    <sheet name="260109" sheetId="10" r:id="rId5"/>
    <sheet name="2025년_251231" sheetId="11" r:id="rId6"/>
    <sheet name="2026년_251126" sheetId="9" r:id="rId7"/>
    <sheet name="251030" sheetId="8" r:id="rId8"/>
    <sheet name="250805" sheetId="7" r:id="rId9"/>
    <sheet name="250714" sheetId="6" r:id="rId10"/>
    <sheet name="250625" sheetId="5" r:id="rId11"/>
    <sheet name="250526" sheetId="4" r:id="rId12"/>
    <sheet name="250516" sheetId="3" r:id="rId13"/>
    <sheet name="24.12.31" sheetId="2" r:id="rId14"/>
    <sheet name="Sheet1" sheetId="1" r:id="rId15"/>
  </sheets>
  <definedNames>
    <definedName name="_xlnm.Print_Area" localSheetId="5">'2025년_251231'!$A$1:$M$74</definedName>
    <definedName name="_xlnm.Print_Area" localSheetId="6">'2026년_251126'!$A$1:$M$74</definedName>
    <definedName name="_xlnm.Print_Area" localSheetId="13">'24.12.31'!$A$1:$M$65</definedName>
    <definedName name="_xlnm.Print_Area" localSheetId="12">'250516'!$A$1:$M$65</definedName>
    <definedName name="_xlnm.Print_Area" localSheetId="11">'250526'!$A$1:$M$65</definedName>
    <definedName name="_xlnm.Print_Area" localSheetId="10">'250625'!$A$1:$M$65</definedName>
    <definedName name="_xlnm.Print_Area" localSheetId="9">'250714'!$A$1:$M$65</definedName>
    <definedName name="_xlnm.Print_Area" localSheetId="8">'250805'!$A$1:$M$65</definedName>
    <definedName name="_xlnm.Print_Area" localSheetId="7">'251030'!$A$1:$M$65</definedName>
    <definedName name="_xlnm.Print_Area" localSheetId="4">'260109'!$A$1:$M$68</definedName>
    <definedName name="_xlnm.Print_Area" localSheetId="3">'260220'!$A$2:$N$70</definedName>
    <definedName name="_xlnm.Print_Area" localSheetId="2">'260311'!$A$2:$N$70</definedName>
    <definedName name="_xlnm.Print_Area" localSheetId="1">'260406'!$A$2:$N$70</definedName>
    <definedName name="_xlnm.Print_Area" localSheetId="0">'260507'!$A$2:$N$67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8" i="15" l="1"/>
  <c r="H66" i="15"/>
  <c r="I37" i="15"/>
  <c r="H65" i="15"/>
  <c r="F11" i="15"/>
  <c r="H11" i="15"/>
  <c r="E11" i="15"/>
  <c r="C7" i="15"/>
  <c r="G8" i="15"/>
  <c r="K46" i="15"/>
  <c r="K43" i="15"/>
  <c r="K40" i="15"/>
  <c r="K36" i="15"/>
  <c r="K37" i="15" s="1"/>
  <c r="K65" i="15" l="1"/>
  <c r="K66" i="15" s="1"/>
  <c r="M25" i="15"/>
  <c r="E65" i="15"/>
  <c r="D65" i="15"/>
  <c r="C65" i="15"/>
  <c r="H64" i="15"/>
  <c r="F62" i="15"/>
  <c r="H61" i="15"/>
  <c r="F59" i="15"/>
  <c r="H58" i="15"/>
  <c r="F56" i="15"/>
  <c r="I55" i="15"/>
  <c r="H55" i="15"/>
  <c r="F53" i="15"/>
  <c r="G9" i="15" s="1"/>
  <c r="L52" i="15"/>
  <c r="K52" i="15"/>
  <c r="J52" i="15"/>
  <c r="I52" i="15"/>
  <c r="H52" i="15"/>
  <c r="R51" i="15"/>
  <c r="R50" i="15"/>
  <c r="M50" i="15"/>
  <c r="F50" i="15"/>
  <c r="R49" i="15"/>
  <c r="L49" i="15"/>
  <c r="K49" i="15"/>
  <c r="J49" i="15"/>
  <c r="I49" i="15"/>
  <c r="H49" i="15"/>
  <c r="R48" i="15"/>
  <c r="R47" i="15"/>
  <c r="M47" i="15"/>
  <c r="F47" i="15"/>
  <c r="R46" i="15"/>
  <c r="L46" i="15"/>
  <c r="J46" i="15"/>
  <c r="I46" i="15"/>
  <c r="H46" i="15"/>
  <c r="M44" i="15"/>
  <c r="F44" i="15"/>
  <c r="L43" i="15"/>
  <c r="J43" i="15"/>
  <c r="I43" i="15"/>
  <c r="H43" i="15"/>
  <c r="M41" i="15"/>
  <c r="F41" i="15"/>
  <c r="Q40" i="15"/>
  <c r="L40" i="15"/>
  <c r="J40" i="15"/>
  <c r="J65" i="15" s="1"/>
  <c r="I40" i="15"/>
  <c r="I65" i="15" s="1"/>
  <c r="I66" i="15" s="1"/>
  <c r="H40" i="15"/>
  <c r="Q39" i="15"/>
  <c r="Q38" i="15"/>
  <c r="F38" i="15"/>
  <c r="E37" i="15"/>
  <c r="E66" i="15" s="1"/>
  <c r="D37" i="15"/>
  <c r="D66" i="15" s="1"/>
  <c r="C37" i="15"/>
  <c r="L36" i="15"/>
  <c r="J36" i="15"/>
  <c r="J37" i="15" s="1"/>
  <c r="I36" i="15"/>
  <c r="M34" i="15"/>
  <c r="F34" i="15"/>
  <c r="L33" i="15"/>
  <c r="L37" i="15" s="1"/>
  <c r="K33" i="15"/>
  <c r="J33" i="15"/>
  <c r="I33" i="15"/>
  <c r="M31" i="15"/>
  <c r="F31" i="15"/>
  <c r="L30" i="15"/>
  <c r="K30" i="15"/>
  <c r="J30" i="15"/>
  <c r="I30" i="15"/>
  <c r="M28" i="15"/>
  <c r="F28" i="15"/>
  <c r="L27" i="15"/>
  <c r="K27" i="15"/>
  <c r="J27" i="15"/>
  <c r="I27" i="15"/>
  <c r="F25" i="15"/>
  <c r="L24" i="15"/>
  <c r="K24" i="15"/>
  <c r="J24" i="15"/>
  <c r="I24" i="15"/>
  <c r="M22" i="15"/>
  <c r="F22" i="15"/>
  <c r="L21" i="15"/>
  <c r="K21" i="15"/>
  <c r="J21" i="15"/>
  <c r="I21" i="15"/>
  <c r="M19" i="15"/>
  <c r="F19" i="15"/>
  <c r="L18" i="15"/>
  <c r="K18" i="15"/>
  <c r="J18" i="15"/>
  <c r="I18" i="15"/>
  <c r="M16" i="15"/>
  <c r="F16" i="15"/>
  <c r="D72" i="14"/>
  <c r="H11" i="14"/>
  <c r="F11" i="14"/>
  <c r="E68" i="14"/>
  <c r="F68" i="14" s="1"/>
  <c r="D68" i="14"/>
  <c r="C68" i="14"/>
  <c r="H67" i="14"/>
  <c r="F65" i="14"/>
  <c r="H64" i="14"/>
  <c r="F62" i="14"/>
  <c r="H61" i="14"/>
  <c r="F59" i="14"/>
  <c r="I58" i="14"/>
  <c r="H58" i="14"/>
  <c r="F56" i="14"/>
  <c r="G8" i="14" s="1"/>
  <c r="G9" i="14" s="1"/>
  <c r="L55" i="14"/>
  <c r="K55" i="14"/>
  <c r="J55" i="14"/>
  <c r="I55" i="14"/>
  <c r="H55" i="14"/>
  <c r="R54" i="14"/>
  <c r="R53" i="14"/>
  <c r="M53" i="14"/>
  <c r="F53" i="14"/>
  <c r="R52" i="14"/>
  <c r="L52" i="14"/>
  <c r="K52" i="14"/>
  <c r="J52" i="14"/>
  <c r="I52" i="14"/>
  <c r="H52" i="14"/>
  <c r="R51" i="14"/>
  <c r="R50" i="14"/>
  <c r="M50" i="14"/>
  <c r="M68" i="14" s="1"/>
  <c r="F50" i="14"/>
  <c r="R49" i="14"/>
  <c r="L49" i="14"/>
  <c r="J49" i="14"/>
  <c r="I49" i="14"/>
  <c r="H49" i="14"/>
  <c r="M47" i="14"/>
  <c r="F47" i="14"/>
  <c r="L46" i="14"/>
  <c r="J46" i="14"/>
  <c r="I46" i="14"/>
  <c r="H46" i="14"/>
  <c r="M44" i="14"/>
  <c r="F44" i="14"/>
  <c r="Q43" i="14"/>
  <c r="L43" i="14"/>
  <c r="J43" i="14"/>
  <c r="I43" i="14"/>
  <c r="H43" i="14"/>
  <c r="Q42" i="14"/>
  <c r="Q41" i="14"/>
  <c r="M41" i="14"/>
  <c r="F41" i="14"/>
  <c r="M40" i="14"/>
  <c r="E40" i="14"/>
  <c r="D40" i="14"/>
  <c r="D69" i="14" s="1"/>
  <c r="C40" i="14"/>
  <c r="C69" i="14" s="1"/>
  <c r="L39" i="14"/>
  <c r="J39" i="14"/>
  <c r="I39" i="14"/>
  <c r="M37" i="14"/>
  <c r="F37" i="14"/>
  <c r="L36" i="14"/>
  <c r="K36" i="14"/>
  <c r="J36" i="14"/>
  <c r="I36" i="14"/>
  <c r="M34" i="14"/>
  <c r="F34" i="14"/>
  <c r="L33" i="14"/>
  <c r="K33" i="14"/>
  <c r="J33" i="14"/>
  <c r="I33" i="14"/>
  <c r="M31" i="14"/>
  <c r="F31" i="14"/>
  <c r="L30" i="14"/>
  <c r="K30" i="14"/>
  <c r="J30" i="14"/>
  <c r="I30" i="14"/>
  <c r="M28" i="14"/>
  <c r="F28" i="14"/>
  <c r="L27" i="14"/>
  <c r="K27" i="14"/>
  <c r="J27" i="14"/>
  <c r="I27" i="14"/>
  <c r="M25" i="14"/>
  <c r="F25" i="14"/>
  <c r="L24" i="14"/>
  <c r="K24" i="14"/>
  <c r="J24" i="14"/>
  <c r="I24" i="14"/>
  <c r="M22" i="14"/>
  <c r="F22" i="14"/>
  <c r="L21" i="14"/>
  <c r="K21" i="14"/>
  <c r="J21" i="14"/>
  <c r="I21" i="14"/>
  <c r="M19" i="14"/>
  <c r="F19" i="14"/>
  <c r="L18" i="14"/>
  <c r="K18" i="14"/>
  <c r="J18" i="14"/>
  <c r="I18" i="14"/>
  <c r="M16" i="14"/>
  <c r="F16" i="14"/>
  <c r="K55" i="13"/>
  <c r="E68" i="13"/>
  <c r="D68" i="13"/>
  <c r="C68" i="13"/>
  <c r="H67" i="13"/>
  <c r="F65" i="13"/>
  <c r="G8" i="13" s="1"/>
  <c r="G9" i="13" s="1"/>
  <c r="H64" i="13"/>
  <c r="F62" i="13"/>
  <c r="H61" i="13"/>
  <c r="F59" i="13"/>
  <c r="I58" i="13"/>
  <c r="H58" i="13"/>
  <c r="F56" i="13"/>
  <c r="L55" i="13"/>
  <c r="J55" i="13"/>
  <c r="I55" i="13"/>
  <c r="H55" i="13"/>
  <c r="R54" i="13"/>
  <c r="R53" i="13"/>
  <c r="M53" i="13"/>
  <c r="F53" i="13"/>
  <c r="R52" i="13"/>
  <c r="L52" i="13"/>
  <c r="K52" i="13"/>
  <c r="J52" i="13"/>
  <c r="I52" i="13"/>
  <c r="H52" i="13"/>
  <c r="R51" i="13"/>
  <c r="R50" i="13"/>
  <c r="M50" i="13"/>
  <c r="F50" i="13"/>
  <c r="R49" i="13"/>
  <c r="L49" i="13"/>
  <c r="J49" i="13"/>
  <c r="I49" i="13"/>
  <c r="H49" i="13"/>
  <c r="M47" i="13"/>
  <c r="F47" i="13"/>
  <c r="L46" i="13"/>
  <c r="J46" i="13"/>
  <c r="I46" i="13"/>
  <c r="H46" i="13"/>
  <c r="M44" i="13"/>
  <c r="F44" i="13"/>
  <c r="Q43" i="13"/>
  <c r="L43" i="13"/>
  <c r="J43" i="13"/>
  <c r="I43" i="13"/>
  <c r="H43" i="13"/>
  <c r="Q42" i="13"/>
  <c r="Q41" i="13"/>
  <c r="M41" i="13"/>
  <c r="M68" i="13" s="1"/>
  <c r="F41" i="13"/>
  <c r="E40" i="13"/>
  <c r="E69" i="13" s="1"/>
  <c r="D40" i="13"/>
  <c r="D69" i="13" s="1"/>
  <c r="C40" i="13"/>
  <c r="C69" i="13" s="1"/>
  <c r="L39" i="13"/>
  <c r="J39" i="13"/>
  <c r="I39" i="13"/>
  <c r="M37" i="13"/>
  <c r="F37" i="13"/>
  <c r="L36" i="13"/>
  <c r="K36" i="13"/>
  <c r="J36" i="13"/>
  <c r="I36" i="13"/>
  <c r="M34" i="13"/>
  <c r="F34" i="13"/>
  <c r="L33" i="13"/>
  <c r="K33" i="13"/>
  <c r="J33" i="13"/>
  <c r="I33" i="13"/>
  <c r="M31" i="13"/>
  <c r="F31" i="13"/>
  <c r="L30" i="13"/>
  <c r="K30" i="13"/>
  <c r="J30" i="13"/>
  <c r="I30" i="13"/>
  <c r="M28" i="13"/>
  <c r="F28" i="13"/>
  <c r="L27" i="13"/>
  <c r="K27" i="13"/>
  <c r="J27" i="13"/>
  <c r="I27" i="13"/>
  <c r="M25" i="13"/>
  <c r="F25" i="13"/>
  <c r="L24" i="13"/>
  <c r="K24" i="13"/>
  <c r="J24" i="13"/>
  <c r="I24" i="13"/>
  <c r="M22" i="13"/>
  <c r="F22" i="13"/>
  <c r="L21" i="13"/>
  <c r="K21" i="13"/>
  <c r="J21" i="13"/>
  <c r="I21" i="13"/>
  <c r="M19" i="13"/>
  <c r="F19" i="13"/>
  <c r="L18" i="13"/>
  <c r="K18" i="13"/>
  <c r="J18" i="13"/>
  <c r="I18" i="13"/>
  <c r="M16" i="13"/>
  <c r="F16" i="13"/>
  <c r="J66" i="15" l="1"/>
  <c r="L65" i="15"/>
  <c r="M65" i="15"/>
  <c r="L66" i="15"/>
  <c r="N66" i="15" s="1"/>
  <c r="M37" i="15"/>
  <c r="F37" i="15"/>
  <c r="C6" i="15" s="1"/>
  <c r="C9" i="15" s="1"/>
  <c r="F65" i="15"/>
  <c r="C66" i="15"/>
  <c r="F66" i="15" s="1"/>
  <c r="C7" i="14"/>
  <c r="E69" i="14"/>
  <c r="F69" i="14" s="1"/>
  <c r="M69" i="14"/>
  <c r="F40" i="14"/>
  <c r="C6" i="14" s="1"/>
  <c r="C9" i="14" s="1"/>
  <c r="M40" i="13"/>
  <c r="M69" i="13" s="1"/>
  <c r="F68" i="13"/>
  <c r="F69" i="13"/>
  <c r="C7" i="13"/>
  <c r="F40" i="13"/>
  <c r="C6" i="13" s="1"/>
  <c r="C9" i="13" s="1"/>
  <c r="M66" i="15" l="1"/>
  <c r="K24" i="12"/>
  <c r="C7" i="12" l="1"/>
  <c r="F69" i="12"/>
  <c r="G8" i="12"/>
  <c r="C6" i="12"/>
  <c r="G9" i="12"/>
  <c r="H67" i="12"/>
  <c r="H64" i="12"/>
  <c r="H61" i="12"/>
  <c r="H58" i="12"/>
  <c r="H55" i="12"/>
  <c r="H52" i="12"/>
  <c r="H49" i="12"/>
  <c r="H46" i="12"/>
  <c r="H43" i="12"/>
  <c r="M37" i="12"/>
  <c r="M34" i="12"/>
  <c r="M31" i="12"/>
  <c r="M28" i="12"/>
  <c r="M25" i="12"/>
  <c r="M22" i="12"/>
  <c r="M19" i="12"/>
  <c r="M16" i="12"/>
  <c r="E68" i="12"/>
  <c r="D68" i="12"/>
  <c r="C68" i="12"/>
  <c r="F65" i="12"/>
  <c r="F62" i="12"/>
  <c r="F59" i="12"/>
  <c r="I58" i="12"/>
  <c r="F56" i="12"/>
  <c r="L55" i="12"/>
  <c r="J55" i="12"/>
  <c r="I55" i="12"/>
  <c r="R54" i="12"/>
  <c r="R53" i="12"/>
  <c r="M53" i="12"/>
  <c r="F53" i="12"/>
  <c r="R52" i="12"/>
  <c r="L52" i="12"/>
  <c r="K52" i="12"/>
  <c r="J52" i="12"/>
  <c r="I52" i="12"/>
  <c r="R51" i="12"/>
  <c r="R50" i="12"/>
  <c r="M50" i="12"/>
  <c r="F50" i="12"/>
  <c r="R49" i="12"/>
  <c r="L49" i="12"/>
  <c r="J49" i="12"/>
  <c r="I49" i="12"/>
  <c r="M47" i="12"/>
  <c r="M68" i="12" s="1"/>
  <c r="F47" i="12"/>
  <c r="L46" i="12"/>
  <c r="J46" i="12"/>
  <c r="I46" i="12"/>
  <c r="M44" i="12"/>
  <c r="F44" i="12"/>
  <c r="Q43" i="12"/>
  <c r="L43" i="12"/>
  <c r="J43" i="12"/>
  <c r="I43" i="12"/>
  <c r="Q42" i="12"/>
  <c r="Q41" i="12"/>
  <c r="M41" i="12"/>
  <c r="F41" i="12"/>
  <c r="E40" i="12"/>
  <c r="D40" i="12"/>
  <c r="C40" i="12"/>
  <c r="L39" i="12"/>
  <c r="J39" i="12"/>
  <c r="I39" i="12"/>
  <c r="F37" i="12"/>
  <c r="L36" i="12"/>
  <c r="K36" i="12"/>
  <c r="J36" i="12"/>
  <c r="I36" i="12"/>
  <c r="F34" i="12"/>
  <c r="L33" i="12"/>
  <c r="K33" i="12"/>
  <c r="J33" i="12"/>
  <c r="I33" i="12"/>
  <c r="F31" i="12"/>
  <c r="L30" i="12"/>
  <c r="K30" i="12"/>
  <c r="J30" i="12"/>
  <c r="I30" i="12"/>
  <c r="F28" i="12"/>
  <c r="L27" i="12"/>
  <c r="K27" i="12"/>
  <c r="J27" i="12"/>
  <c r="I27" i="12"/>
  <c r="F25" i="12"/>
  <c r="L24" i="12"/>
  <c r="J24" i="12"/>
  <c r="I24" i="12"/>
  <c r="F22" i="12"/>
  <c r="L21" i="12"/>
  <c r="K21" i="12"/>
  <c r="J21" i="12"/>
  <c r="I21" i="12"/>
  <c r="F19" i="12"/>
  <c r="L18" i="12"/>
  <c r="K18" i="12"/>
  <c r="J18" i="12"/>
  <c r="I18" i="12"/>
  <c r="F16" i="12"/>
  <c r="J28" i="10"/>
  <c r="C6" i="11"/>
  <c r="E72" i="11"/>
  <c r="D72" i="11"/>
  <c r="C72" i="11"/>
  <c r="F72" i="11" s="1"/>
  <c r="K71" i="11"/>
  <c r="I71" i="11"/>
  <c r="H71" i="11"/>
  <c r="L69" i="11"/>
  <c r="F69" i="11"/>
  <c r="K68" i="11"/>
  <c r="J68" i="11"/>
  <c r="I68" i="11"/>
  <c r="H68" i="11"/>
  <c r="L66" i="11"/>
  <c r="F66" i="11"/>
  <c r="K65" i="11"/>
  <c r="J65" i="11"/>
  <c r="I65" i="11"/>
  <c r="H65" i="11"/>
  <c r="L63" i="11"/>
  <c r="F63" i="11"/>
  <c r="K62" i="11"/>
  <c r="J62" i="11"/>
  <c r="I62" i="11"/>
  <c r="H62" i="11"/>
  <c r="L60" i="11"/>
  <c r="F60" i="11"/>
  <c r="K59" i="11"/>
  <c r="J59" i="11"/>
  <c r="I59" i="11"/>
  <c r="H59" i="11"/>
  <c r="L57" i="11"/>
  <c r="F57" i="11"/>
  <c r="K56" i="11"/>
  <c r="J56" i="11"/>
  <c r="I56" i="11"/>
  <c r="H56" i="11"/>
  <c r="L54" i="11"/>
  <c r="F54" i="11"/>
  <c r="K53" i="11"/>
  <c r="J53" i="11"/>
  <c r="I53" i="11"/>
  <c r="H53" i="11"/>
  <c r="L51" i="11"/>
  <c r="F51" i="11"/>
  <c r="K50" i="11"/>
  <c r="J50" i="11"/>
  <c r="I50" i="11"/>
  <c r="H50" i="11"/>
  <c r="L48" i="11"/>
  <c r="F48" i="11"/>
  <c r="K47" i="11"/>
  <c r="I47" i="11"/>
  <c r="H47" i="11"/>
  <c r="L45" i="11"/>
  <c r="F45" i="11"/>
  <c r="Q44" i="11"/>
  <c r="K44" i="11"/>
  <c r="J44" i="11"/>
  <c r="I44" i="11"/>
  <c r="H44" i="11"/>
  <c r="Q43" i="11"/>
  <c r="Q42" i="11"/>
  <c r="L42" i="11"/>
  <c r="L72" i="11" s="1"/>
  <c r="F42" i="11"/>
  <c r="Q41" i="11"/>
  <c r="K41" i="11"/>
  <c r="I41" i="11"/>
  <c r="H41" i="11"/>
  <c r="L39" i="11"/>
  <c r="F39" i="11"/>
  <c r="K38" i="11"/>
  <c r="I38" i="11"/>
  <c r="H38" i="11"/>
  <c r="L36" i="11"/>
  <c r="F36" i="11"/>
  <c r="P35" i="11"/>
  <c r="K35" i="11"/>
  <c r="I35" i="11"/>
  <c r="H35" i="11"/>
  <c r="P34" i="11"/>
  <c r="P33" i="11"/>
  <c r="L33" i="11"/>
  <c r="F33" i="11"/>
  <c r="E32" i="11"/>
  <c r="E73" i="11" s="1"/>
  <c r="D32" i="11"/>
  <c r="D73" i="11" s="1"/>
  <c r="C32" i="11"/>
  <c r="C73" i="11" s="1"/>
  <c r="F73" i="11" s="1"/>
  <c r="K31" i="11"/>
  <c r="I31" i="11"/>
  <c r="H31" i="11"/>
  <c r="L29" i="11"/>
  <c r="F29" i="11"/>
  <c r="K28" i="11"/>
  <c r="J28" i="11"/>
  <c r="I28" i="11"/>
  <c r="H28" i="11"/>
  <c r="L26" i="11"/>
  <c r="F26" i="11"/>
  <c r="K25" i="11"/>
  <c r="I25" i="11"/>
  <c r="H25" i="11"/>
  <c r="L23" i="11"/>
  <c r="F23" i="11"/>
  <c r="K22" i="11"/>
  <c r="I22" i="11"/>
  <c r="H22" i="11"/>
  <c r="L20" i="11"/>
  <c r="F20" i="11"/>
  <c r="K19" i="11"/>
  <c r="I19" i="11"/>
  <c r="H19" i="11"/>
  <c r="L17" i="11"/>
  <c r="F17" i="11"/>
  <c r="K16" i="11"/>
  <c r="I16" i="11"/>
  <c r="H16" i="11"/>
  <c r="L14" i="11"/>
  <c r="L32" i="11" s="1"/>
  <c r="F14" i="11"/>
  <c r="I7" i="11"/>
  <c r="I8" i="11" s="1"/>
  <c r="C5" i="11"/>
  <c r="C8" i="11" s="1"/>
  <c r="G7" i="10"/>
  <c r="J50" i="10"/>
  <c r="C69" i="12" l="1"/>
  <c r="D69" i="12"/>
  <c r="M40" i="12"/>
  <c r="M69" i="12" s="1"/>
  <c r="E69" i="12"/>
  <c r="F68" i="12"/>
  <c r="F40" i="12"/>
  <c r="C9" i="12" s="1"/>
  <c r="L73" i="11"/>
  <c r="F32" i="11"/>
  <c r="G6" i="11" s="1"/>
  <c r="G8" i="11" s="1"/>
  <c r="E66" i="10"/>
  <c r="D66" i="10"/>
  <c r="C66" i="10"/>
  <c r="F63" i="10"/>
  <c r="F60" i="10"/>
  <c r="F57" i="10"/>
  <c r="H56" i="10"/>
  <c r="F54" i="10"/>
  <c r="K53" i="10"/>
  <c r="I53" i="10"/>
  <c r="H53" i="10"/>
  <c r="Q52" i="10"/>
  <c r="Q51" i="10"/>
  <c r="L51" i="10"/>
  <c r="F51" i="10"/>
  <c r="Q50" i="10"/>
  <c r="K50" i="10"/>
  <c r="I50" i="10"/>
  <c r="H50" i="10"/>
  <c r="Q49" i="10"/>
  <c r="Q48" i="10"/>
  <c r="L48" i="10"/>
  <c r="F48" i="10"/>
  <c r="Q47" i="10"/>
  <c r="K47" i="10"/>
  <c r="I47" i="10"/>
  <c r="H47" i="10"/>
  <c r="L45" i="10"/>
  <c r="F45" i="10"/>
  <c r="K44" i="10"/>
  <c r="I44" i="10"/>
  <c r="H44" i="10"/>
  <c r="L42" i="10"/>
  <c r="F42" i="10"/>
  <c r="P41" i="10"/>
  <c r="K41" i="10"/>
  <c r="I41" i="10"/>
  <c r="H41" i="10"/>
  <c r="P40" i="10"/>
  <c r="P39" i="10"/>
  <c r="L39" i="10"/>
  <c r="F39" i="10"/>
  <c r="E38" i="10"/>
  <c r="D38" i="10"/>
  <c r="C38" i="10"/>
  <c r="F38" i="10" s="1"/>
  <c r="C5" i="10" s="1"/>
  <c r="K37" i="10"/>
  <c r="I37" i="10"/>
  <c r="H37" i="10"/>
  <c r="L35" i="10"/>
  <c r="F35" i="10"/>
  <c r="K34" i="10"/>
  <c r="J34" i="10"/>
  <c r="I34" i="10"/>
  <c r="H34" i="10"/>
  <c r="L32" i="10"/>
  <c r="F32" i="10"/>
  <c r="K31" i="10"/>
  <c r="J31" i="10"/>
  <c r="I31" i="10"/>
  <c r="H31" i="10"/>
  <c r="L29" i="10"/>
  <c r="F29" i="10"/>
  <c r="K28" i="10"/>
  <c r="I28" i="10"/>
  <c r="H28" i="10"/>
  <c r="L26" i="10"/>
  <c r="F26" i="10"/>
  <c r="K25" i="10"/>
  <c r="J25" i="10"/>
  <c r="I25" i="10"/>
  <c r="H25" i="10"/>
  <c r="L23" i="10"/>
  <c r="F23" i="10"/>
  <c r="K22" i="10"/>
  <c r="J22" i="10"/>
  <c r="I22" i="10"/>
  <c r="H22" i="10"/>
  <c r="L20" i="10"/>
  <c r="F20" i="10"/>
  <c r="K19" i="10"/>
  <c r="J19" i="10"/>
  <c r="I19" i="10"/>
  <c r="H19" i="10"/>
  <c r="L17" i="10"/>
  <c r="F17" i="10"/>
  <c r="K16" i="10"/>
  <c r="J16" i="10"/>
  <c r="I16" i="10"/>
  <c r="H16" i="10"/>
  <c r="L14" i="10"/>
  <c r="F14" i="10"/>
  <c r="G7" i="9"/>
  <c r="C6" i="9"/>
  <c r="L51" i="9"/>
  <c r="J53" i="9"/>
  <c r="J44" i="9"/>
  <c r="J37" i="9"/>
  <c r="K31" i="9"/>
  <c r="J31" i="9"/>
  <c r="I31" i="9"/>
  <c r="H31" i="9"/>
  <c r="L29" i="9"/>
  <c r="F29" i="9"/>
  <c r="K25" i="9"/>
  <c r="J25" i="9"/>
  <c r="I25" i="9"/>
  <c r="H25" i="9"/>
  <c r="L23" i="9"/>
  <c r="F23" i="9"/>
  <c r="L66" i="10" l="1"/>
  <c r="C6" i="10"/>
  <c r="D67" i="10"/>
  <c r="G8" i="10"/>
  <c r="E67" i="10"/>
  <c r="F66" i="10"/>
  <c r="C67" i="10"/>
  <c r="L38" i="10"/>
  <c r="L67" i="10" s="1"/>
  <c r="J19" i="9"/>
  <c r="K19" i="9"/>
  <c r="I19" i="9"/>
  <c r="H19" i="9"/>
  <c r="L17" i="9"/>
  <c r="F17" i="9"/>
  <c r="F67" i="10" l="1"/>
  <c r="C8" i="10"/>
  <c r="J50" i="9"/>
  <c r="J47" i="9"/>
  <c r="H44" i="9"/>
  <c r="L48" i="9"/>
  <c r="H50" i="9"/>
  <c r="I50" i="9"/>
  <c r="K50" i="9"/>
  <c r="H53" i="9"/>
  <c r="I53" i="9"/>
  <c r="K53" i="9"/>
  <c r="L54" i="9"/>
  <c r="H56" i="9"/>
  <c r="I56" i="9"/>
  <c r="K56" i="9"/>
  <c r="L57" i="9"/>
  <c r="H59" i="9"/>
  <c r="I59" i="9"/>
  <c r="K59" i="9"/>
  <c r="H62" i="9"/>
  <c r="I62" i="9"/>
  <c r="K40" i="9"/>
  <c r="I40" i="9"/>
  <c r="H40" i="9"/>
  <c r="L38" i="9"/>
  <c r="F38" i="9"/>
  <c r="K37" i="9"/>
  <c r="I37" i="9"/>
  <c r="H37" i="9"/>
  <c r="L35" i="9"/>
  <c r="F35" i="9"/>
  <c r="K34" i="9"/>
  <c r="J34" i="9"/>
  <c r="I34" i="9"/>
  <c r="H34" i="9"/>
  <c r="L32" i="9"/>
  <c r="F32" i="9"/>
  <c r="K28" i="9"/>
  <c r="J28" i="9"/>
  <c r="I28" i="9"/>
  <c r="H28" i="9"/>
  <c r="L26" i="9"/>
  <c r="F26" i="9"/>
  <c r="K22" i="9"/>
  <c r="J22" i="9"/>
  <c r="I22" i="9"/>
  <c r="H22" i="9"/>
  <c r="L20" i="9"/>
  <c r="F20" i="9"/>
  <c r="K16" i="9"/>
  <c r="I16" i="9"/>
  <c r="H16" i="9"/>
  <c r="L14" i="9"/>
  <c r="F14" i="9"/>
  <c r="E72" i="9"/>
  <c r="D72" i="9"/>
  <c r="C72" i="9"/>
  <c r="F69" i="9"/>
  <c r="F66" i="9"/>
  <c r="F63" i="9"/>
  <c r="F60" i="9"/>
  <c r="F57" i="9"/>
  <c r="Q55" i="9"/>
  <c r="Q54" i="9"/>
  <c r="F54" i="9"/>
  <c r="Q53" i="9"/>
  <c r="Q52" i="9"/>
  <c r="Q51" i="9"/>
  <c r="F51" i="9"/>
  <c r="Q50" i="9"/>
  <c r="F48" i="9"/>
  <c r="K47" i="9"/>
  <c r="I47" i="9"/>
  <c r="H47" i="9"/>
  <c r="L45" i="9"/>
  <c r="F45" i="9"/>
  <c r="P44" i="9"/>
  <c r="K44" i="9"/>
  <c r="I44" i="9"/>
  <c r="P43" i="9"/>
  <c r="P42" i="9"/>
  <c r="L42" i="9"/>
  <c r="F42" i="9"/>
  <c r="E41" i="9"/>
  <c r="D41" i="9"/>
  <c r="C41" i="9"/>
  <c r="G8" i="9"/>
  <c r="L41" i="9" l="1"/>
  <c r="D73" i="9"/>
  <c r="F72" i="9"/>
  <c r="L72" i="9"/>
  <c r="L73" i="9" s="1"/>
  <c r="C73" i="9"/>
  <c r="E73" i="9"/>
  <c r="F41" i="9"/>
  <c r="C5" i="9" s="1"/>
  <c r="C8" i="9" s="1"/>
  <c r="F73" i="9" l="1"/>
  <c r="E63" i="8" l="1"/>
  <c r="D63" i="8"/>
  <c r="F63" i="8" s="1"/>
  <c r="C63" i="8"/>
  <c r="K62" i="8"/>
  <c r="I62" i="8"/>
  <c r="H62" i="8"/>
  <c r="L60" i="8"/>
  <c r="F60" i="8"/>
  <c r="K59" i="8"/>
  <c r="I59" i="8"/>
  <c r="H59" i="8"/>
  <c r="L57" i="8"/>
  <c r="F57" i="8"/>
  <c r="K56" i="8"/>
  <c r="J56" i="8"/>
  <c r="I56" i="8"/>
  <c r="H56" i="8"/>
  <c r="L54" i="8"/>
  <c r="F54" i="8"/>
  <c r="K53" i="8"/>
  <c r="J53" i="8"/>
  <c r="I53" i="8"/>
  <c r="H53" i="8"/>
  <c r="L51" i="8"/>
  <c r="F51" i="8"/>
  <c r="K50" i="8"/>
  <c r="J50" i="8"/>
  <c r="I50" i="8"/>
  <c r="H50" i="8"/>
  <c r="L48" i="8"/>
  <c r="F48" i="8"/>
  <c r="K47" i="8"/>
  <c r="I47" i="8"/>
  <c r="H47" i="8"/>
  <c r="Q46" i="8"/>
  <c r="Q45" i="8"/>
  <c r="L45" i="8"/>
  <c r="F45" i="8"/>
  <c r="G7" i="8" s="1"/>
  <c r="G8" i="8" s="1"/>
  <c r="Q44" i="8"/>
  <c r="K44" i="8"/>
  <c r="J44" i="8"/>
  <c r="I44" i="8"/>
  <c r="H44" i="8"/>
  <c r="Q43" i="8"/>
  <c r="Q42" i="8"/>
  <c r="L42" i="8"/>
  <c r="F42" i="8"/>
  <c r="Q41" i="8"/>
  <c r="K41" i="8"/>
  <c r="I41" i="8"/>
  <c r="H41" i="8"/>
  <c r="L39" i="8"/>
  <c r="F39" i="8"/>
  <c r="K38" i="8"/>
  <c r="I38" i="8"/>
  <c r="H38" i="8"/>
  <c r="L36" i="8"/>
  <c r="F36" i="8"/>
  <c r="P35" i="8"/>
  <c r="K35" i="8"/>
  <c r="I35" i="8"/>
  <c r="H35" i="8"/>
  <c r="P34" i="8"/>
  <c r="P33" i="8"/>
  <c r="L33" i="8"/>
  <c r="F33" i="8"/>
  <c r="L32" i="8"/>
  <c r="E32" i="8"/>
  <c r="D32" i="8"/>
  <c r="C32" i="8"/>
  <c r="F32" i="8" s="1"/>
  <c r="K31" i="8"/>
  <c r="I31" i="8"/>
  <c r="H31" i="8"/>
  <c r="L29" i="8"/>
  <c r="F29" i="8"/>
  <c r="K28" i="8"/>
  <c r="J28" i="8"/>
  <c r="I28" i="8"/>
  <c r="H28" i="8"/>
  <c r="L26" i="8"/>
  <c r="F26" i="8"/>
  <c r="K25" i="8"/>
  <c r="I25" i="8"/>
  <c r="H25" i="8"/>
  <c r="L23" i="8"/>
  <c r="F23" i="8"/>
  <c r="C6" i="8" s="1"/>
  <c r="C8" i="8" s="1"/>
  <c r="K22" i="8"/>
  <c r="I22" i="8"/>
  <c r="H22" i="8"/>
  <c r="L20" i="8"/>
  <c r="F20" i="8"/>
  <c r="K19" i="8"/>
  <c r="I19" i="8"/>
  <c r="H19" i="8"/>
  <c r="L17" i="8"/>
  <c r="F17" i="8"/>
  <c r="K16" i="8"/>
  <c r="I16" i="8"/>
  <c r="H16" i="8"/>
  <c r="L14" i="8"/>
  <c r="F14" i="8"/>
  <c r="E64" i="8" l="1"/>
  <c r="L63" i="8"/>
  <c r="D64" i="8"/>
  <c r="L64" i="8"/>
  <c r="C64" i="8"/>
  <c r="F64" i="8" l="1"/>
  <c r="J44" i="7" l="1"/>
  <c r="E63" i="7" l="1"/>
  <c r="D63" i="7"/>
  <c r="D64" i="7" s="1"/>
  <c r="C63" i="7"/>
  <c r="K62" i="7"/>
  <c r="I62" i="7"/>
  <c r="H62" i="7"/>
  <c r="L60" i="7"/>
  <c r="F60" i="7"/>
  <c r="K59" i="7"/>
  <c r="I59" i="7"/>
  <c r="H59" i="7"/>
  <c r="L57" i="7"/>
  <c r="F57" i="7"/>
  <c r="K56" i="7"/>
  <c r="J56" i="7"/>
  <c r="I56" i="7"/>
  <c r="H56" i="7"/>
  <c r="L54" i="7"/>
  <c r="F54" i="7"/>
  <c r="K53" i="7"/>
  <c r="J53" i="7"/>
  <c r="I53" i="7"/>
  <c r="H53" i="7"/>
  <c r="L51" i="7"/>
  <c r="F51" i="7"/>
  <c r="K50" i="7"/>
  <c r="J50" i="7"/>
  <c r="I50" i="7"/>
  <c r="H50" i="7"/>
  <c r="L48" i="7"/>
  <c r="F48" i="7"/>
  <c r="K47" i="7"/>
  <c r="I47" i="7"/>
  <c r="H47" i="7"/>
  <c r="Q46" i="7"/>
  <c r="Q45" i="7"/>
  <c r="L45" i="7"/>
  <c r="F45" i="7"/>
  <c r="Q44" i="7"/>
  <c r="K44" i="7"/>
  <c r="I44" i="7"/>
  <c r="H44" i="7"/>
  <c r="Q43" i="7"/>
  <c r="Q42" i="7"/>
  <c r="L42" i="7"/>
  <c r="F42" i="7"/>
  <c r="Q41" i="7"/>
  <c r="K41" i="7"/>
  <c r="I41" i="7"/>
  <c r="H41" i="7"/>
  <c r="L39" i="7"/>
  <c r="F39" i="7"/>
  <c r="K38" i="7"/>
  <c r="I38" i="7"/>
  <c r="H38" i="7"/>
  <c r="L36" i="7"/>
  <c r="F36" i="7"/>
  <c r="P35" i="7"/>
  <c r="K35" i="7"/>
  <c r="I35" i="7"/>
  <c r="H35" i="7"/>
  <c r="P34" i="7"/>
  <c r="P33" i="7"/>
  <c r="L33" i="7"/>
  <c r="F33" i="7"/>
  <c r="E32" i="7"/>
  <c r="E64" i="7" s="1"/>
  <c r="D32" i="7"/>
  <c r="C32" i="7"/>
  <c r="C64" i="7" s="1"/>
  <c r="K31" i="7"/>
  <c r="I31" i="7"/>
  <c r="H31" i="7"/>
  <c r="L29" i="7"/>
  <c r="F29" i="7"/>
  <c r="K28" i="7"/>
  <c r="J28" i="7"/>
  <c r="I28" i="7"/>
  <c r="H28" i="7"/>
  <c r="L26" i="7"/>
  <c r="F26" i="7"/>
  <c r="K25" i="7"/>
  <c r="I25" i="7"/>
  <c r="H25" i="7"/>
  <c r="L23" i="7"/>
  <c r="F23" i="7"/>
  <c r="K22" i="7"/>
  <c r="I22" i="7"/>
  <c r="H22" i="7"/>
  <c r="L20" i="7"/>
  <c r="F20" i="7"/>
  <c r="C6" i="7" s="1"/>
  <c r="C8" i="7" s="1"/>
  <c r="K19" i="7"/>
  <c r="I19" i="7"/>
  <c r="H19" i="7"/>
  <c r="L17" i="7"/>
  <c r="F17" i="7"/>
  <c r="K16" i="7"/>
  <c r="I16" i="7"/>
  <c r="H16" i="7"/>
  <c r="L14" i="7"/>
  <c r="L32" i="7" s="1"/>
  <c r="F14" i="7"/>
  <c r="E63" i="6"/>
  <c r="D63" i="6"/>
  <c r="C63" i="6"/>
  <c r="K62" i="6"/>
  <c r="J62" i="6"/>
  <c r="I62" i="6"/>
  <c r="H62" i="6"/>
  <c r="L60" i="6"/>
  <c r="F60" i="6"/>
  <c r="K59" i="6"/>
  <c r="J59" i="6"/>
  <c r="I59" i="6"/>
  <c r="H59" i="6"/>
  <c r="L57" i="6"/>
  <c r="F57" i="6"/>
  <c r="K56" i="6"/>
  <c r="J56" i="6"/>
  <c r="I56" i="6"/>
  <c r="H56" i="6"/>
  <c r="L54" i="6"/>
  <c r="F54" i="6"/>
  <c r="K53" i="6"/>
  <c r="J53" i="6"/>
  <c r="I53" i="6"/>
  <c r="H53" i="6"/>
  <c r="L51" i="6"/>
  <c r="F51" i="6"/>
  <c r="K50" i="6"/>
  <c r="J50" i="6"/>
  <c r="I50" i="6"/>
  <c r="H50" i="6"/>
  <c r="L48" i="6"/>
  <c r="F48" i="6"/>
  <c r="K47" i="6"/>
  <c r="I47" i="6"/>
  <c r="H47" i="6"/>
  <c r="Q46" i="6"/>
  <c r="Q45" i="6"/>
  <c r="L45" i="6"/>
  <c r="F45" i="6"/>
  <c r="Q44" i="6"/>
  <c r="K44" i="6"/>
  <c r="I44" i="6"/>
  <c r="H44" i="6"/>
  <c r="Q43" i="6"/>
  <c r="Q42" i="6"/>
  <c r="L42" i="6"/>
  <c r="F42" i="6"/>
  <c r="Q41" i="6"/>
  <c r="K41" i="6"/>
  <c r="J41" i="6"/>
  <c r="I41" i="6"/>
  <c r="H41" i="6"/>
  <c r="L39" i="6"/>
  <c r="F39" i="6"/>
  <c r="K38" i="6"/>
  <c r="J38" i="6"/>
  <c r="I38" i="6"/>
  <c r="H38" i="6"/>
  <c r="L36" i="6"/>
  <c r="L63" i="6" s="1"/>
  <c r="F36" i="6"/>
  <c r="P35" i="6"/>
  <c r="K35" i="6"/>
  <c r="I35" i="6"/>
  <c r="H35" i="6"/>
  <c r="P34" i="6"/>
  <c r="P33" i="6"/>
  <c r="L33" i="6"/>
  <c r="F33" i="6"/>
  <c r="E32" i="6"/>
  <c r="E64" i="6" s="1"/>
  <c r="D32" i="6"/>
  <c r="C32" i="6"/>
  <c r="K31" i="6"/>
  <c r="I31" i="6"/>
  <c r="H31" i="6"/>
  <c r="L29" i="6"/>
  <c r="F29" i="6"/>
  <c r="K28" i="6"/>
  <c r="J28" i="6"/>
  <c r="I28" i="6"/>
  <c r="H28" i="6"/>
  <c r="L26" i="6"/>
  <c r="F26" i="6"/>
  <c r="K25" i="6"/>
  <c r="I25" i="6"/>
  <c r="H25" i="6"/>
  <c r="L23" i="6"/>
  <c r="F23" i="6"/>
  <c r="K22" i="6"/>
  <c r="I22" i="6"/>
  <c r="H22" i="6"/>
  <c r="L20" i="6"/>
  <c r="L32" i="6" s="1"/>
  <c r="L64" i="6" s="1"/>
  <c r="F20" i="6"/>
  <c r="K19" i="6"/>
  <c r="I19" i="6"/>
  <c r="H19" i="6"/>
  <c r="L17" i="6"/>
  <c r="F17" i="6"/>
  <c r="K16" i="6"/>
  <c r="I16" i="6"/>
  <c r="H16" i="6"/>
  <c r="L14" i="6"/>
  <c r="F14" i="6"/>
  <c r="E64" i="5"/>
  <c r="C64" i="5"/>
  <c r="F63" i="5"/>
  <c r="E63" i="5"/>
  <c r="D63" i="5"/>
  <c r="C63" i="5"/>
  <c r="K62" i="5"/>
  <c r="J62" i="5"/>
  <c r="I62" i="5"/>
  <c r="H62" i="5"/>
  <c r="L60" i="5"/>
  <c r="F60" i="5"/>
  <c r="K59" i="5"/>
  <c r="J59" i="5"/>
  <c r="I59" i="5"/>
  <c r="H59" i="5"/>
  <c r="L57" i="5"/>
  <c r="F57" i="5"/>
  <c r="K56" i="5"/>
  <c r="J56" i="5"/>
  <c r="I56" i="5"/>
  <c r="H56" i="5"/>
  <c r="L54" i="5"/>
  <c r="F54" i="5"/>
  <c r="K53" i="5"/>
  <c r="J53" i="5"/>
  <c r="I53" i="5"/>
  <c r="H53" i="5"/>
  <c r="L51" i="5"/>
  <c r="F51" i="5"/>
  <c r="K50" i="5"/>
  <c r="J50" i="5"/>
  <c r="I50" i="5"/>
  <c r="H50" i="5"/>
  <c r="L48" i="5"/>
  <c r="F48" i="5"/>
  <c r="K47" i="5"/>
  <c r="I47" i="5"/>
  <c r="H47" i="5"/>
  <c r="Q46" i="5"/>
  <c r="Q45" i="5"/>
  <c r="L45" i="5"/>
  <c r="F45" i="5"/>
  <c r="Q44" i="5"/>
  <c r="K44" i="5"/>
  <c r="I44" i="5"/>
  <c r="H44" i="5"/>
  <c r="Q43" i="5"/>
  <c r="Q42" i="5"/>
  <c r="L42" i="5"/>
  <c r="F42" i="5"/>
  <c r="Q41" i="5"/>
  <c r="K41" i="5"/>
  <c r="J41" i="5"/>
  <c r="I41" i="5"/>
  <c r="H41" i="5"/>
  <c r="L39" i="5"/>
  <c r="F39" i="5"/>
  <c r="K38" i="5"/>
  <c r="J38" i="5"/>
  <c r="I38" i="5"/>
  <c r="H38" i="5"/>
  <c r="L36" i="5"/>
  <c r="F36" i="5"/>
  <c r="P35" i="5"/>
  <c r="K35" i="5"/>
  <c r="I35" i="5"/>
  <c r="H35" i="5"/>
  <c r="P34" i="5"/>
  <c r="P33" i="5"/>
  <c r="L33" i="5"/>
  <c r="L63" i="5" s="1"/>
  <c r="F33" i="5"/>
  <c r="E32" i="5"/>
  <c r="D32" i="5"/>
  <c r="D64" i="5" s="1"/>
  <c r="C32" i="5"/>
  <c r="F32" i="5" s="1"/>
  <c r="K31" i="5"/>
  <c r="I31" i="5"/>
  <c r="H31" i="5"/>
  <c r="L29" i="5"/>
  <c r="F29" i="5"/>
  <c r="K28" i="5"/>
  <c r="J28" i="5"/>
  <c r="I28" i="5"/>
  <c r="H28" i="5"/>
  <c r="L26" i="5"/>
  <c r="F26" i="5"/>
  <c r="K25" i="5"/>
  <c r="I25" i="5"/>
  <c r="H25" i="5"/>
  <c r="L23" i="5"/>
  <c r="F23" i="5"/>
  <c r="K22" i="5"/>
  <c r="I22" i="5"/>
  <c r="H22" i="5"/>
  <c r="L20" i="5"/>
  <c r="F20" i="5"/>
  <c r="C6" i="5" s="1"/>
  <c r="C8" i="5" s="1"/>
  <c r="K19" i="5"/>
  <c r="I19" i="5"/>
  <c r="H19" i="5"/>
  <c r="L17" i="5"/>
  <c r="F17" i="5"/>
  <c r="K16" i="5"/>
  <c r="I16" i="5"/>
  <c r="H16" i="5"/>
  <c r="L14" i="5"/>
  <c r="L32" i="5" s="1"/>
  <c r="F14" i="5"/>
  <c r="G7" i="5"/>
  <c r="G8" i="5" s="1"/>
  <c r="G7" i="7" l="1"/>
  <c r="G8" i="7" s="1"/>
  <c r="F64" i="7"/>
  <c r="F63" i="7"/>
  <c r="L63" i="7"/>
  <c r="L64" i="7" s="1"/>
  <c r="F32" i="7"/>
  <c r="F63" i="6"/>
  <c r="D64" i="6"/>
  <c r="C64" i="6"/>
  <c r="G7" i="6"/>
  <c r="G8" i="6" s="1"/>
  <c r="C6" i="6"/>
  <c r="C8" i="6" s="1"/>
  <c r="F32" i="6"/>
  <c r="L64" i="5"/>
  <c r="F64" i="5"/>
  <c r="F64" i="6" l="1"/>
  <c r="C6" i="4"/>
  <c r="G7" i="4"/>
  <c r="E63" i="4"/>
  <c r="E64" i="4" s="1"/>
  <c r="D63" i="4"/>
  <c r="C63" i="4"/>
  <c r="K62" i="4"/>
  <c r="J62" i="4"/>
  <c r="I62" i="4"/>
  <c r="H62" i="4"/>
  <c r="L60" i="4"/>
  <c r="F60" i="4"/>
  <c r="K59" i="4"/>
  <c r="J59" i="4"/>
  <c r="I59" i="4"/>
  <c r="H59" i="4"/>
  <c r="L57" i="4"/>
  <c r="F57" i="4"/>
  <c r="K56" i="4"/>
  <c r="J56" i="4"/>
  <c r="I56" i="4"/>
  <c r="H56" i="4"/>
  <c r="L54" i="4"/>
  <c r="F54" i="4"/>
  <c r="K53" i="4"/>
  <c r="J53" i="4"/>
  <c r="I53" i="4"/>
  <c r="H53" i="4"/>
  <c r="L51" i="4"/>
  <c r="F51" i="4"/>
  <c r="K50" i="4"/>
  <c r="J50" i="4"/>
  <c r="I50" i="4"/>
  <c r="H50" i="4"/>
  <c r="L48" i="4"/>
  <c r="F48" i="4"/>
  <c r="K47" i="4"/>
  <c r="I47" i="4"/>
  <c r="H47" i="4"/>
  <c r="Q46" i="4"/>
  <c r="Q45" i="4"/>
  <c r="L45" i="4"/>
  <c r="F45" i="4"/>
  <c r="G8" i="4" s="1"/>
  <c r="Q44" i="4"/>
  <c r="K44" i="4"/>
  <c r="I44" i="4"/>
  <c r="H44" i="4"/>
  <c r="Q43" i="4"/>
  <c r="Q42" i="4"/>
  <c r="L42" i="4"/>
  <c r="F42" i="4"/>
  <c r="Q41" i="4"/>
  <c r="K41" i="4"/>
  <c r="J41" i="4"/>
  <c r="I41" i="4"/>
  <c r="H41" i="4"/>
  <c r="L39" i="4"/>
  <c r="F39" i="4"/>
  <c r="K38" i="4"/>
  <c r="J38" i="4"/>
  <c r="I38" i="4"/>
  <c r="H38" i="4"/>
  <c r="L36" i="4"/>
  <c r="F36" i="4"/>
  <c r="P35" i="4"/>
  <c r="K35" i="4"/>
  <c r="I35" i="4"/>
  <c r="H35" i="4"/>
  <c r="P34" i="4"/>
  <c r="P33" i="4"/>
  <c r="L33" i="4"/>
  <c r="F33" i="4"/>
  <c r="E32" i="4"/>
  <c r="D32" i="4"/>
  <c r="D64" i="4" s="1"/>
  <c r="C32" i="4"/>
  <c r="C64" i="4" s="1"/>
  <c r="F64" i="4" s="1"/>
  <c r="K31" i="4"/>
  <c r="I31" i="4"/>
  <c r="H31" i="4"/>
  <c r="L29" i="4"/>
  <c r="F29" i="4"/>
  <c r="K28" i="4"/>
  <c r="J28" i="4"/>
  <c r="I28" i="4"/>
  <c r="H28" i="4"/>
  <c r="L26" i="4"/>
  <c r="F26" i="4"/>
  <c r="K25" i="4"/>
  <c r="I25" i="4"/>
  <c r="H25" i="4"/>
  <c r="L23" i="4"/>
  <c r="F23" i="4"/>
  <c r="K22" i="4"/>
  <c r="I22" i="4"/>
  <c r="H22" i="4"/>
  <c r="L20" i="4"/>
  <c r="F20" i="4"/>
  <c r="K19" i="4"/>
  <c r="I19" i="4"/>
  <c r="H19" i="4"/>
  <c r="L17" i="4"/>
  <c r="F17" i="4"/>
  <c r="K16" i="4"/>
  <c r="I16" i="4"/>
  <c r="H16" i="4"/>
  <c r="L14" i="4"/>
  <c r="L32" i="4" s="1"/>
  <c r="F14" i="4"/>
  <c r="J28" i="3"/>
  <c r="J38" i="3"/>
  <c r="J41" i="3"/>
  <c r="J50" i="3"/>
  <c r="J53" i="3"/>
  <c r="J56" i="3"/>
  <c r="J59" i="3"/>
  <c r="J62" i="3"/>
  <c r="L63" i="4" l="1"/>
  <c r="L64" i="4" s="1"/>
  <c r="C8" i="4"/>
  <c r="F32" i="4"/>
  <c r="F63" i="4"/>
  <c r="F48" i="3"/>
  <c r="F51" i="3"/>
  <c r="D63" i="3"/>
  <c r="E63" i="3"/>
  <c r="F36" i="3"/>
  <c r="F39" i="3"/>
  <c r="F42" i="3"/>
  <c r="F45" i="3"/>
  <c r="F54" i="3"/>
  <c r="F57" i="3"/>
  <c r="F60" i="3"/>
  <c r="F33" i="3"/>
  <c r="D32" i="3"/>
  <c r="D64" i="3" s="1"/>
  <c r="F17" i="3"/>
  <c r="F20" i="3"/>
  <c r="F23" i="3"/>
  <c r="F26" i="3"/>
  <c r="F29" i="3"/>
  <c r="F14" i="3"/>
  <c r="K62" i="3"/>
  <c r="I62" i="3"/>
  <c r="H62" i="3"/>
  <c r="L60" i="3"/>
  <c r="K59" i="3"/>
  <c r="I59" i="3"/>
  <c r="H59" i="3"/>
  <c r="L57" i="3"/>
  <c r="K56" i="3"/>
  <c r="I56" i="3"/>
  <c r="H56" i="3"/>
  <c r="L54" i="3"/>
  <c r="K53" i="3"/>
  <c r="I53" i="3"/>
  <c r="H53" i="3"/>
  <c r="L51" i="3"/>
  <c r="K50" i="3"/>
  <c r="I50" i="3"/>
  <c r="L48" i="3"/>
  <c r="G7" i="3" l="1"/>
  <c r="C6" i="3"/>
  <c r="E63" i="2"/>
  <c r="E51" i="2"/>
  <c r="E54" i="2"/>
  <c r="E57" i="2"/>
  <c r="E60" i="2"/>
  <c r="S63" i="2" l="1"/>
  <c r="T63" i="2"/>
  <c r="R63" i="2"/>
  <c r="T57" i="2"/>
  <c r="T48" i="2"/>
  <c r="T45" i="2"/>
  <c r="T42" i="2"/>
  <c r="T39" i="2"/>
  <c r="T36" i="2"/>
  <c r="T33" i="2"/>
  <c r="T30" i="2"/>
  <c r="C63" i="3"/>
  <c r="H50" i="3"/>
  <c r="K47" i="3"/>
  <c r="I47" i="3"/>
  <c r="H47" i="3"/>
  <c r="Q46" i="3"/>
  <c r="Q45" i="3"/>
  <c r="L45" i="3"/>
  <c r="G8" i="3"/>
  <c r="Q44" i="3"/>
  <c r="K44" i="3"/>
  <c r="I44" i="3"/>
  <c r="H44" i="3"/>
  <c r="Q43" i="3"/>
  <c r="Q42" i="3"/>
  <c r="L42" i="3"/>
  <c r="Q41" i="3"/>
  <c r="K41" i="3"/>
  <c r="I41" i="3"/>
  <c r="H41" i="3"/>
  <c r="L39" i="3"/>
  <c r="K38" i="3"/>
  <c r="I38" i="3"/>
  <c r="H38" i="3"/>
  <c r="L36" i="3"/>
  <c r="L63" i="3" s="1"/>
  <c r="P35" i="3"/>
  <c r="K35" i="3"/>
  <c r="I35" i="3"/>
  <c r="H35" i="3"/>
  <c r="P34" i="3"/>
  <c r="P33" i="3"/>
  <c r="L33" i="3"/>
  <c r="E32" i="3"/>
  <c r="E64" i="3" s="1"/>
  <c r="C32" i="3"/>
  <c r="F32" i="3" s="1"/>
  <c r="K31" i="3"/>
  <c r="I31" i="3"/>
  <c r="H31" i="3"/>
  <c r="L29" i="3"/>
  <c r="K28" i="3"/>
  <c r="I28" i="3"/>
  <c r="H28" i="3"/>
  <c r="L26" i="3"/>
  <c r="K25" i="3"/>
  <c r="I25" i="3"/>
  <c r="H25" i="3"/>
  <c r="L23" i="3"/>
  <c r="L32" i="3" s="1"/>
  <c r="K22" i="3"/>
  <c r="I22" i="3"/>
  <c r="H22" i="3"/>
  <c r="L20" i="3"/>
  <c r="K19" i="3"/>
  <c r="I19" i="3"/>
  <c r="H19" i="3"/>
  <c r="L17" i="3"/>
  <c r="K16" i="3"/>
  <c r="I16" i="3"/>
  <c r="H16" i="3"/>
  <c r="L14" i="3"/>
  <c r="L63" i="2"/>
  <c r="D63" i="2"/>
  <c r="C63" i="2"/>
  <c r="C64" i="2" s="1"/>
  <c r="K62" i="2"/>
  <c r="J62" i="2"/>
  <c r="I62" i="2"/>
  <c r="L60" i="2"/>
  <c r="K59" i="2"/>
  <c r="J59" i="2"/>
  <c r="I59" i="2"/>
  <c r="L57" i="2"/>
  <c r="K56" i="2"/>
  <c r="J56" i="2"/>
  <c r="I56" i="2"/>
  <c r="L54" i="2"/>
  <c r="K53" i="2"/>
  <c r="J53" i="2"/>
  <c r="I53" i="2"/>
  <c r="L51" i="2"/>
  <c r="K50" i="2"/>
  <c r="J50" i="2"/>
  <c r="I50" i="2"/>
  <c r="L48" i="2"/>
  <c r="E48" i="2"/>
  <c r="K47" i="2"/>
  <c r="J47" i="2"/>
  <c r="I47" i="2"/>
  <c r="L45" i="2"/>
  <c r="E45" i="2"/>
  <c r="K44" i="2"/>
  <c r="J44" i="2"/>
  <c r="P31" i="2" s="1"/>
  <c r="I44" i="2"/>
  <c r="P30" i="2" s="1"/>
  <c r="Q43" i="2"/>
  <c r="Q42" i="2"/>
  <c r="L42" i="2"/>
  <c r="E42" i="2"/>
  <c r="Q41" i="2"/>
  <c r="K41" i="2"/>
  <c r="J41" i="2"/>
  <c r="I41" i="2"/>
  <c r="Q40" i="2"/>
  <c r="Q39" i="2"/>
  <c r="L39" i="2"/>
  <c r="E39" i="2"/>
  <c r="Q38" i="2"/>
  <c r="K38" i="2"/>
  <c r="J38" i="2"/>
  <c r="I38" i="2"/>
  <c r="Q37" i="2"/>
  <c r="L36" i="2"/>
  <c r="K35" i="2"/>
  <c r="J35" i="2"/>
  <c r="I35" i="2"/>
  <c r="L33" i="2"/>
  <c r="E33" i="2"/>
  <c r="P32" i="2"/>
  <c r="K32" i="2"/>
  <c r="J32" i="2"/>
  <c r="I32" i="2"/>
  <c r="L30" i="2"/>
  <c r="E30" i="2"/>
  <c r="C6" i="2" s="1"/>
  <c r="C8" i="2" s="1"/>
  <c r="E29" i="2"/>
  <c r="D29" i="2"/>
  <c r="D64" i="2" s="1"/>
  <c r="C29" i="2"/>
  <c r="K28" i="2"/>
  <c r="J28" i="2"/>
  <c r="I28" i="2"/>
  <c r="L26" i="2"/>
  <c r="K25" i="2"/>
  <c r="J25" i="2"/>
  <c r="I25" i="2"/>
  <c r="L23" i="2"/>
  <c r="K22" i="2"/>
  <c r="J22" i="2"/>
  <c r="I22" i="2"/>
  <c r="L20" i="2"/>
  <c r="K19" i="2"/>
  <c r="J19" i="2"/>
  <c r="I19" i="2"/>
  <c r="L17" i="2"/>
  <c r="K16" i="2"/>
  <c r="J16" i="2"/>
  <c r="I16" i="2"/>
  <c r="L14" i="2"/>
  <c r="L29" i="2" s="1"/>
  <c r="L64" i="2" s="1"/>
  <c r="H7" i="2"/>
  <c r="H8" i="2" s="1"/>
  <c r="F6" i="2"/>
  <c r="L64" i="3" l="1"/>
  <c r="C64" i="3"/>
  <c r="F64" i="3" s="1"/>
  <c r="F63" i="3"/>
  <c r="C8" i="3"/>
  <c r="E64" i="2"/>
  <c r="F5" i="2"/>
  <c r="F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양영기 교육지원팀(제주)(직원)</author>
  </authors>
  <commentList>
    <comment ref="G6" authorId="0" shapeId="0" xr:uid="{6F6D5571-45FC-49B3-BC28-7D6600C1E895}">
      <text>
        <r>
          <rPr>
            <b/>
            <sz val="9"/>
            <color indexed="81"/>
            <rFont val="돋움"/>
            <family val="3"/>
            <charset val="129"/>
          </rPr>
          <t>양영기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교육지원팀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제주</t>
        </r>
        <r>
          <rPr>
            <b/>
            <sz val="9"/>
            <color indexed="81"/>
            <rFont val="Tahoma"/>
            <family val="2"/>
          </rPr>
          <t>)(</t>
        </r>
        <r>
          <rPr>
            <b/>
            <sz val="9"/>
            <color indexed="81"/>
            <rFont val="돋움"/>
            <family val="3"/>
            <charset val="129"/>
          </rPr>
          <t>직원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정석</t>
        </r>
        <r>
          <rPr>
            <sz val="9"/>
            <color indexed="81"/>
            <rFont val="Tahoma"/>
            <family val="2"/>
          </rPr>
          <t>25-4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퇴교
</t>
        </r>
        <r>
          <rPr>
            <sz val="9"/>
            <color indexed="81"/>
            <rFont val="Tahoma"/>
            <family val="2"/>
          </rPr>
          <t xml:space="preserve">    - </t>
        </r>
        <r>
          <rPr>
            <sz val="9"/>
            <color indexed="81"/>
            <rFont val="돋움"/>
            <family val="3"/>
            <charset val="129"/>
          </rPr>
          <t>신다원</t>
        </r>
        <r>
          <rPr>
            <sz val="9"/>
            <color indexed="81"/>
            <rFont val="Tahoma"/>
            <family val="2"/>
          </rPr>
          <t>(25.9.10</t>
        </r>
        <r>
          <rPr>
            <sz val="9"/>
            <color indexed="81"/>
            <rFont val="돋움"/>
            <family val="3"/>
            <charset val="129"/>
          </rPr>
          <t>일부</t>
        </r>
        <r>
          <rPr>
            <sz val="9"/>
            <color indexed="81"/>
            <rFont val="Tahoma"/>
            <family val="2"/>
          </rPr>
          <t xml:space="preserve">)
2. </t>
        </r>
        <r>
          <rPr>
            <sz val="9"/>
            <color indexed="81"/>
            <rFont val="돋움"/>
            <family val="3"/>
            <charset val="129"/>
          </rPr>
          <t>정석</t>
        </r>
        <r>
          <rPr>
            <sz val="9"/>
            <color indexed="81"/>
            <rFont val="Tahoma"/>
            <family val="2"/>
          </rPr>
          <t>25-5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>B 1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퇴사
</t>
        </r>
        <r>
          <rPr>
            <sz val="9"/>
            <color indexed="81"/>
            <rFont val="Tahoma"/>
            <family val="2"/>
          </rPr>
          <t xml:space="preserve">    - OZ </t>
        </r>
        <r>
          <rPr>
            <sz val="9"/>
            <color indexed="81"/>
            <rFont val="돋움"/>
            <family val="3"/>
            <charset val="129"/>
          </rPr>
          <t>이영철</t>
        </r>
        <r>
          <rPr>
            <sz val="9"/>
            <color indexed="81"/>
            <rFont val="Tahoma"/>
            <family val="2"/>
          </rPr>
          <t>(25.11.11</t>
        </r>
        <r>
          <rPr>
            <sz val="9"/>
            <color indexed="81"/>
            <rFont val="돋움"/>
            <family val="3"/>
            <charset val="129"/>
          </rPr>
          <t>일부</t>
        </r>
        <r>
          <rPr>
            <sz val="9"/>
            <color indexed="81"/>
            <rFont val="Tahoma"/>
            <family val="2"/>
          </rPr>
          <t>)</t>
        </r>
      </text>
    </comment>
    <comment ref="I7" authorId="0" shapeId="0" xr:uid="{29674D0D-5B16-4A77-A221-6C9638BB2DE4}">
      <text>
        <r>
          <rPr>
            <b/>
            <sz val="9"/>
            <color indexed="81"/>
            <rFont val="돋움"/>
            <family val="3"/>
            <charset val="129"/>
          </rPr>
          <t>양영기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교육지원팀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제주</t>
        </r>
        <r>
          <rPr>
            <b/>
            <sz val="9"/>
            <color indexed="81"/>
            <rFont val="Tahoma"/>
            <family val="2"/>
          </rPr>
          <t>)(</t>
        </r>
        <r>
          <rPr>
            <b/>
            <sz val="9"/>
            <color indexed="81"/>
            <rFont val="돋움"/>
            <family val="3"/>
            <charset val="129"/>
          </rPr>
          <t>직원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ajor"/>
          </rPr>
          <t>. 정석25-5차B 1명 퇴사
    - OZ 이영철(25.11.11일부)</t>
        </r>
      </text>
    </comment>
    <comment ref="F39" authorId="0" shapeId="0" xr:uid="{67FB8925-6C32-43FC-8A02-636EFF790B43}">
      <text>
        <r>
          <rPr>
            <b/>
            <sz val="9"/>
            <color indexed="81"/>
            <rFont val="돋움"/>
            <family val="3"/>
            <charset val="129"/>
          </rPr>
          <t>양영기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교육지원팀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제주</t>
        </r>
        <r>
          <rPr>
            <b/>
            <sz val="9"/>
            <color indexed="81"/>
            <rFont val="Tahoma"/>
            <family val="2"/>
          </rPr>
          <t>)(</t>
        </r>
        <r>
          <rPr>
            <b/>
            <sz val="9"/>
            <color indexed="81"/>
            <rFont val="돋움"/>
            <family val="3"/>
            <charset val="129"/>
          </rPr>
          <t>직원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.</t>
        </r>
        <r>
          <rPr>
            <sz val="11"/>
            <color indexed="81"/>
            <rFont val="맑은 고딕"/>
            <family val="3"/>
            <charset val="129"/>
            <scheme val="major"/>
          </rPr>
          <t xml:space="preserve"> 신다원
. 본사대기(25.9.10)
. 퇴교처리</t>
        </r>
      </text>
    </comment>
    <comment ref="F48" authorId="0" shapeId="0" xr:uid="{A9AC5D2E-09C8-4A31-B6E4-29C91AF82D3F}">
      <text>
        <r>
          <rPr>
            <b/>
            <sz val="9"/>
            <color indexed="81"/>
            <rFont val="돋움"/>
            <family val="3"/>
            <charset val="129"/>
          </rPr>
          <t>양영기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교육지원팀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제주</t>
        </r>
        <r>
          <rPr>
            <b/>
            <sz val="9"/>
            <color indexed="81"/>
            <rFont val="Tahoma"/>
            <family val="2"/>
          </rPr>
          <t>)(</t>
        </r>
        <r>
          <rPr>
            <b/>
            <sz val="9"/>
            <color indexed="81"/>
            <rFont val="돋움"/>
            <family val="3"/>
            <charset val="129"/>
          </rPr>
          <t>직원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. </t>
        </r>
        <r>
          <rPr>
            <sz val="11"/>
            <color indexed="81"/>
            <rFont val="맑은 고딕"/>
            <family val="3"/>
            <charset val="129"/>
            <scheme val="major"/>
          </rPr>
          <t>이영철
. 개인사유로 퇴사결정
. 25.11.11 일부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양영기 교육지원팀(제주)(직원)</author>
  </authors>
  <commentList>
    <comment ref="F6" authorId="0" shapeId="0" xr:uid="{906AFAF5-CF00-4A4F-8A28-9251A7681802}">
      <text>
        <r>
          <rPr>
            <b/>
            <sz val="9"/>
            <color indexed="81"/>
            <rFont val="돋움"/>
            <family val="3"/>
            <charset val="129"/>
          </rPr>
          <t>양영기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교육지원팀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제주</t>
        </r>
        <r>
          <rPr>
            <b/>
            <sz val="9"/>
            <color indexed="81"/>
            <rFont val="Tahoma"/>
            <family val="2"/>
          </rPr>
          <t>)(</t>
        </r>
        <r>
          <rPr>
            <b/>
            <sz val="9"/>
            <color indexed="81"/>
            <rFont val="돋움"/>
            <family val="3"/>
            <charset val="129"/>
          </rPr>
          <t>직원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. </t>
        </r>
        <r>
          <rPr>
            <sz val="9"/>
            <color indexed="81"/>
            <rFont val="돋움"/>
            <family val="3"/>
            <charset val="129"/>
          </rPr>
          <t>이상민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퇴교</t>
        </r>
      </text>
    </comment>
    <comment ref="E33" authorId="0" shapeId="0" xr:uid="{D6FCC8A1-EA2C-4F04-95B2-0F688106A619}">
      <text>
        <r>
          <rPr>
            <b/>
            <sz val="9"/>
            <color indexed="81"/>
            <rFont val="돋움"/>
            <family val="3"/>
            <charset val="129"/>
          </rPr>
          <t>양영기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교육지원팀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제주</t>
        </r>
        <r>
          <rPr>
            <b/>
            <sz val="9"/>
            <color indexed="81"/>
            <rFont val="Tahoma"/>
            <family val="2"/>
          </rPr>
          <t>)(</t>
        </r>
        <r>
          <rPr>
            <b/>
            <sz val="9"/>
            <color indexed="81"/>
            <rFont val="돋움"/>
            <family val="3"/>
            <charset val="129"/>
          </rPr>
          <t>직원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. </t>
        </r>
        <r>
          <rPr>
            <sz val="9"/>
            <color indexed="81"/>
            <rFont val="돋움"/>
            <family val="3"/>
            <charset val="129"/>
          </rPr>
          <t>김상엽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비행휴로
차수조정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정석</t>
        </r>
        <r>
          <rPr>
            <sz val="9"/>
            <color indexed="81"/>
            <rFont val="Tahoma"/>
            <family val="2"/>
          </rPr>
          <t>24-4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>)</t>
        </r>
      </text>
    </comment>
    <comment ref="E36" authorId="0" shapeId="0" xr:uid="{300C87F7-D3DB-459A-B729-47A4B77B4FA4}">
      <text>
        <r>
          <rPr>
            <b/>
            <sz val="9"/>
            <color indexed="81"/>
            <rFont val="돋움"/>
            <family val="3"/>
            <charset val="129"/>
          </rPr>
          <t>양영기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교육지원팀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제주</t>
        </r>
        <r>
          <rPr>
            <b/>
            <sz val="9"/>
            <color indexed="81"/>
            <rFont val="Tahoma"/>
            <family val="2"/>
          </rPr>
          <t>)(</t>
        </r>
        <r>
          <rPr>
            <b/>
            <sz val="9"/>
            <color indexed="81"/>
            <rFont val="돋움"/>
            <family val="3"/>
            <charset val="129"/>
          </rPr>
          <t>직원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. </t>
        </r>
        <r>
          <rPr>
            <sz val="9"/>
            <color indexed="81"/>
            <rFont val="돋움"/>
            <family val="3"/>
            <charset val="129"/>
          </rPr>
          <t>이상민퇴교</t>
        </r>
        <r>
          <rPr>
            <sz val="9"/>
            <color indexed="81"/>
            <rFont val="Tahoma"/>
            <family val="2"/>
          </rPr>
          <t xml:space="preserve">(24.9.24)
. </t>
        </r>
        <r>
          <rPr>
            <sz val="9"/>
            <color indexed="81"/>
            <rFont val="돋움"/>
            <family val="3"/>
            <charset val="129"/>
          </rPr>
          <t>김정도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비행휴로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차수조정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정석</t>
        </r>
        <r>
          <rPr>
            <sz val="9"/>
            <color indexed="81"/>
            <rFont val="Tahoma"/>
            <family val="2"/>
          </rPr>
          <t>24-4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>)</t>
        </r>
      </text>
    </comment>
    <comment ref="E39" authorId="0" shapeId="0" xr:uid="{D75E4906-B890-431C-AD90-459B5FA8A9D1}">
      <text>
        <r>
          <rPr>
            <b/>
            <sz val="9"/>
            <color indexed="81"/>
            <rFont val="돋움"/>
            <family val="3"/>
            <charset val="129"/>
          </rPr>
          <t>양영기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교육지원팀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제주</t>
        </r>
        <r>
          <rPr>
            <b/>
            <sz val="9"/>
            <color indexed="81"/>
            <rFont val="Tahoma"/>
            <family val="2"/>
          </rPr>
          <t>)(</t>
        </r>
        <r>
          <rPr>
            <b/>
            <sz val="9"/>
            <color indexed="81"/>
            <rFont val="돋움"/>
            <family val="3"/>
            <charset val="129"/>
          </rPr>
          <t>직원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. </t>
        </r>
        <r>
          <rPr>
            <sz val="9"/>
            <color indexed="81"/>
            <rFont val="돋움"/>
            <family val="3"/>
            <charset val="129"/>
          </rPr>
          <t>김정도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합류</t>
        </r>
        <r>
          <rPr>
            <sz val="9"/>
            <color indexed="81"/>
            <rFont val="Tahoma"/>
            <family val="2"/>
          </rPr>
          <t xml:space="preserve">(24.8.26)
. </t>
        </r>
        <r>
          <rPr>
            <sz val="9"/>
            <color indexed="81"/>
            <rFont val="돋움"/>
            <family val="3"/>
            <charset val="129"/>
          </rPr>
          <t>김상엽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합류</t>
        </r>
        <r>
          <rPr>
            <sz val="9"/>
            <color indexed="81"/>
            <rFont val="Tahoma"/>
            <family val="2"/>
          </rPr>
          <t>(24.9.23)</t>
        </r>
      </text>
    </comment>
    <comment ref="E63" authorId="0" shapeId="0" xr:uid="{B44E1821-C0A1-4CDD-8DD9-77EEB691E961}">
      <text>
        <r>
          <rPr>
            <b/>
            <sz val="9"/>
            <color indexed="81"/>
            <rFont val="돋움"/>
            <family val="3"/>
            <charset val="129"/>
          </rPr>
          <t>양영기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교육지원팀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제주</t>
        </r>
        <r>
          <rPr>
            <b/>
            <sz val="9"/>
            <color indexed="81"/>
            <rFont val="Tahoma"/>
            <family val="2"/>
          </rPr>
          <t>)(</t>
        </r>
        <r>
          <rPr>
            <b/>
            <sz val="9"/>
            <color indexed="81"/>
            <rFont val="돋움"/>
            <family val="3"/>
            <charset val="129"/>
          </rPr>
          <t>직원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. </t>
        </r>
        <r>
          <rPr>
            <sz val="9"/>
            <color indexed="81"/>
            <rFont val="돋움"/>
            <family val="3"/>
            <charset val="129"/>
          </rPr>
          <t>이상민퇴교로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입과인원은</t>
        </r>
        <r>
          <rPr>
            <sz val="9"/>
            <color indexed="81"/>
            <rFont val="Tahoma"/>
            <family val="2"/>
          </rPr>
          <t xml:space="preserve"> 152</t>
        </r>
        <r>
          <rPr>
            <sz val="9"/>
            <color indexed="81"/>
            <rFont val="돋움"/>
            <family val="3"/>
            <charset val="129"/>
          </rPr>
          <t>명임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<sst xmlns="http://schemas.openxmlformats.org/spreadsheetml/2006/main" count="1126" uniqueCount="213">
  <si>
    <t>양성계획</t>
    <phoneticPr fontId="9" type="noConversion"/>
  </si>
  <si>
    <t>년도</t>
    <phoneticPr fontId="9" type="noConversion"/>
  </si>
  <si>
    <t>입과인원(KE 기준)</t>
    <phoneticPr fontId="9" type="noConversion"/>
  </si>
  <si>
    <t>수료인원(정석 기준)</t>
    <phoneticPr fontId="9" type="noConversion"/>
  </si>
  <si>
    <t>미 수료인원(이월)</t>
    <phoneticPr fontId="9" type="noConversion"/>
  </si>
  <si>
    <t>비 고</t>
    <phoneticPr fontId="9" type="noConversion"/>
  </si>
  <si>
    <t>2023년</t>
    <phoneticPr fontId="9" type="noConversion"/>
  </si>
  <si>
    <t xml:space="preserve"> ○ 2024년도 교육인원 193명 (2023년 81명 +
     2024년 112명)</t>
    <phoneticPr fontId="9" type="noConversion"/>
  </si>
  <si>
    <t>2024년</t>
    <phoneticPr fontId="9" type="noConversion"/>
  </si>
  <si>
    <t>2025년</t>
    <phoneticPr fontId="9" type="noConversion"/>
  </si>
  <si>
    <t>소계</t>
    <phoneticPr fontId="9" type="noConversion"/>
  </si>
  <si>
    <t>교육일정</t>
    <phoneticPr fontId="9" type="noConversion"/>
  </si>
  <si>
    <t>년도</t>
    <phoneticPr fontId="4" type="noConversion"/>
  </si>
  <si>
    <t>차수</t>
    <phoneticPr fontId="4" type="noConversion"/>
  </si>
  <si>
    <t>출신</t>
    <phoneticPr fontId="9" type="noConversion"/>
  </si>
  <si>
    <t>인원</t>
    <phoneticPr fontId="4" type="noConversion"/>
  </si>
  <si>
    <t>KE 기본교육</t>
    <phoneticPr fontId="9" type="noConversion"/>
  </si>
  <si>
    <t>KE 기본교육후 교육대기</t>
    <phoneticPr fontId="9" type="noConversion"/>
  </si>
  <si>
    <t>항공사 전환훈련과정</t>
    <phoneticPr fontId="9" type="noConversion"/>
  </si>
  <si>
    <t>자격증명 취득
실기 응시월</t>
    <phoneticPr fontId="9" type="noConversion"/>
  </si>
  <si>
    <t>군</t>
    <phoneticPr fontId="9" type="noConversion"/>
  </si>
  <si>
    <t>민</t>
    <phoneticPr fontId="9" type="noConversion"/>
  </si>
  <si>
    <t>교육훈련진도계획('23.12.20) 적용</t>
    <phoneticPr fontId="9" type="noConversion"/>
  </si>
  <si>
    <t>입과일</t>
  </si>
  <si>
    <t>G/S</t>
    <phoneticPr fontId="4" type="noConversion"/>
  </si>
  <si>
    <t>SIM</t>
    <phoneticPr fontId="4" type="noConversion"/>
  </si>
  <si>
    <t>비행</t>
    <phoneticPr fontId="4" type="noConversion"/>
  </si>
  <si>
    <t>교육기간</t>
    <phoneticPr fontId="4" type="noConversion"/>
  </si>
  <si>
    <t>2023년도</t>
    <phoneticPr fontId="9" type="noConversion"/>
  </si>
  <si>
    <t>정석23-4차</t>
    <phoneticPr fontId="9" type="noConversion"/>
  </si>
  <si>
    <t>24.1월 중순</t>
    <phoneticPr fontId="9" type="noConversion"/>
  </si>
  <si>
    <t>12주</t>
    <phoneticPr fontId="9" type="noConversion"/>
  </si>
  <si>
    <t>정석23-5차</t>
    <phoneticPr fontId="9" type="noConversion"/>
  </si>
  <si>
    <t>24.2월 중순</t>
    <phoneticPr fontId="9" type="noConversion"/>
  </si>
  <si>
    <t>정석23-6차</t>
    <phoneticPr fontId="9" type="noConversion"/>
  </si>
  <si>
    <t>24.3월 중순(한정)</t>
    <phoneticPr fontId="9" type="noConversion"/>
  </si>
  <si>
    <t>24.4월 중순(다발)</t>
    <phoneticPr fontId="9" type="noConversion"/>
  </si>
  <si>
    <t>정석23-7차</t>
    <phoneticPr fontId="9" type="noConversion"/>
  </si>
  <si>
    <t>24.5월 중순</t>
    <phoneticPr fontId="9" type="noConversion"/>
  </si>
  <si>
    <t>정석23-8차</t>
    <phoneticPr fontId="9" type="noConversion"/>
  </si>
  <si>
    <t>24.6월 중순</t>
    <phoneticPr fontId="9" type="noConversion"/>
  </si>
  <si>
    <t>-</t>
    <phoneticPr fontId="9" type="noConversion"/>
  </si>
  <si>
    <t>평균</t>
    <phoneticPr fontId="9" type="noConversion"/>
  </si>
  <si>
    <t>과정별 평균 소요기간</t>
    <phoneticPr fontId="2" type="noConversion"/>
  </si>
  <si>
    <t>2024년도</t>
    <phoneticPr fontId="9" type="noConversion"/>
  </si>
  <si>
    <t>정석24-1차</t>
    <phoneticPr fontId="9" type="noConversion"/>
  </si>
  <si>
    <t>24.7월 중순</t>
    <phoneticPr fontId="9" type="noConversion"/>
  </si>
  <si>
    <t>G/S</t>
    <phoneticPr fontId="2" type="noConversion"/>
  </si>
  <si>
    <t>SIM</t>
    <phoneticPr fontId="2" type="noConversion"/>
  </si>
  <si>
    <t>비행</t>
    <phoneticPr fontId="2" type="noConversion"/>
  </si>
  <si>
    <t>정석24-2차</t>
    <phoneticPr fontId="9" type="noConversion"/>
  </si>
  <si>
    <t>24.8월 중순</t>
    <phoneticPr fontId="9" type="noConversion"/>
  </si>
  <si>
    <t>정석24-3차</t>
    <phoneticPr fontId="9" type="noConversion"/>
  </si>
  <si>
    <t>24.10월 중순</t>
    <phoneticPr fontId="9" type="noConversion"/>
  </si>
  <si>
    <t>정석24-4차</t>
    <phoneticPr fontId="9" type="noConversion"/>
  </si>
  <si>
    <t>24.11월 중순</t>
    <phoneticPr fontId="9" type="noConversion"/>
  </si>
  <si>
    <t>정석24-5차</t>
    <phoneticPr fontId="9" type="noConversion"/>
  </si>
  <si>
    <t>24.12월 중순</t>
    <phoneticPr fontId="9" type="noConversion"/>
  </si>
  <si>
    <t>정석24-6차</t>
    <phoneticPr fontId="9" type="noConversion"/>
  </si>
  <si>
    <t>25.1월 중순(6명)
25.2월 중순(5명)</t>
    <phoneticPr fontId="9" type="noConversion"/>
  </si>
  <si>
    <t>정석24-7차</t>
    <phoneticPr fontId="9" type="noConversion"/>
  </si>
  <si>
    <t>25.3월 중순</t>
    <phoneticPr fontId="9" type="noConversion"/>
  </si>
  <si>
    <t>정석24-8차</t>
    <phoneticPr fontId="9" type="noConversion"/>
  </si>
  <si>
    <t>25.4월 중순</t>
    <phoneticPr fontId="9" type="noConversion"/>
  </si>
  <si>
    <t>정석24-9차</t>
    <phoneticPr fontId="9" type="noConversion"/>
  </si>
  <si>
    <t>25.5월 중순</t>
    <phoneticPr fontId="9" type="noConversion"/>
  </si>
  <si>
    <t>공군</t>
    <phoneticPr fontId="9" type="noConversion"/>
  </si>
  <si>
    <t>정석24-10차</t>
    <phoneticPr fontId="9" type="noConversion"/>
  </si>
  <si>
    <t>25.7월 중순</t>
    <phoneticPr fontId="9" type="noConversion"/>
  </si>
  <si>
    <t>합계</t>
    <phoneticPr fontId="9" type="noConversion"/>
  </si>
  <si>
    <t>합계 평균</t>
    <phoneticPr fontId="9" type="noConversion"/>
  </si>
  <si>
    <t xml:space="preserve"> ※ 정석 입과 기준 : KE 기본교육(12주) 이수 후 정석 입과
     - KE 기본교육(12주) : 신규과정(5주) + 기종학과(3주) + CPT훈련(4주)</t>
    <phoneticPr fontId="9" type="noConversion"/>
  </si>
  <si>
    <t>2025년도 정석 KE 신입조종사 양성계획</t>
    <phoneticPr fontId="2" type="noConversion"/>
  </si>
  <si>
    <t>2026년</t>
    <phoneticPr fontId="9" type="noConversion"/>
  </si>
  <si>
    <t>2025년도</t>
    <phoneticPr fontId="9" type="noConversion"/>
  </si>
  <si>
    <t>정석25-1차</t>
    <phoneticPr fontId="9" type="noConversion"/>
  </si>
  <si>
    <t>25.8월</t>
    <phoneticPr fontId="2" type="noConversion"/>
  </si>
  <si>
    <t>정석25-2차</t>
    <phoneticPr fontId="9" type="noConversion"/>
  </si>
  <si>
    <t>25.9월</t>
    <phoneticPr fontId="2" type="noConversion"/>
  </si>
  <si>
    <t>정석25-3차</t>
    <phoneticPr fontId="9" type="noConversion"/>
  </si>
  <si>
    <t>25.10월</t>
    <phoneticPr fontId="2" type="noConversion"/>
  </si>
  <si>
    <t>정석25-4차</t>
    <phoneticPr fontId="9" type="noConversion"/>
  </si>
  <si>
    <t>25.11월</t>
    <phoneticPr fontId="2" type="noConversion"/>
  </si>
  <si>
    <t>정석25-5차</t>
    <phoneticPr fontId="9" type="noConversion"/>
  </si>
  <si>
    <t>정석25-6차</t>
    <phoneticPr fontId="9" type="noConversion"/>
  </si>
  <si>
    <t>정석25-7차</t>
    <phoneticPr fontId="2" type="noConversion"/>
  </si>
  <si>
    <t>정석25-8차</t>
    <phoneticPr fontId="2" type="noConversion"/>
  </si>
  <si>
    <t>정석25-9차</t>
    <phoneticPr fontId="2" type="noConversion"/>
  </si>
  <si>
    <t>정석25-10차</t>
    <phoneticPr fontId="2" type="noConversion"/>
  </si>
  <si>
    <t>단발</t>
    <phoneticPr fontId="2" type="noConversion"/>
  </si>
  <si>
    <t>다발</t>
    <phoneticPr fontId="2" type="noConversion"/>
  </si>
  <si>
    <t>2024 군경력 구분</t>
    <phoneticPr fontId="2" type="noConversion"/>
  </si>
  <si>
    <t>계</t>
    <phoneticPr fontId="2" type="noConversion"/>
  </si>
  <si>
    <t>2024년도 정석 KE 신입조종사 양성실적</t>
    <phoneticPr fontId="2" type="noConversion"/>
  </si>
  <si>
    <t>입과인원
(정석 기준)</t>
    <phoneticPr fontId="9" type="noConversion"/>
  </si>
  <si>
    <t>미 수료인원
(이월)</t>
    <phoneticPr fontId="9" type="noConversion"/>
  </si>
  <si>
    <t>KE</t>
    <phoneticPr fontId="2" type="noConversion"/>
  </si>
  <si>
    <t>OZ</t>
    <phoneticPr fontId="9" type="noConversion"/>
  </si>
  <si>
    <t>군경력</t>
    <phoneticPr fontId="2" type="noConversion"/>
  </si>
  <si>
    <t>민경력</t>
    <phoneticPr fontId="2" type="noConversion"/>
  </si>
  <si>
    <t>26.1월</t>
    <phoneticPr fontId="2" type="noConversion"/>
  </si>
  <si>
    <t>26.3월</t>
    <phoneticPr fontId="2" type="noConversion"/>
  </si>
  <si>
    <t>26.4월</t>
    <phoneticPr fontId="2" type="noConversion"/>
  </si>
  <si>
    <t>26.5월</t>
    <phoneticPr fontId="2" type="noConversion"/>
  </si>
  <si>
    <t>26.6월</t>
    <phoneticPr fontId="2" type="noConversion"/>
  </si>
  <si>
    <t>26.7월</t>
    <phoneticPr fontId="2" type="noConversion"/>
  </si>
  <si>
    <t>25.5월 중순
(5.28~5.30/7명)</t>
    <phoneticPr fontId="9" type="noConversion"/>
  </si>
  <si>
    <t>25.5월 중순
(5.28~5.30/2명)</t>
    <phoneticPr fontId="9" type="noConversion"/>
  </si>
  <si>
    <t>25.7월 중순
(7.30~8.1/16명)</t>
    <phoneticPr fontId="9" type="noConversion"/>
  </si>
  <si>
    <t>25.4월 중순
(4.23~4.25/16명)</t>
    <phoneticPr fontId="9" type="noConversion"/>
  </si>
  <si>
    <t>교육훈련진도계획('25.05.16) 적용</t>
    <phoneticPr fontId="9" type="noConversion"/>
  </si>
  <si>
    <t>교육대기(SIM 훈련후)</t>
    <phoneticPr fontId="2" type="noConversion"/>
  </si>
  <si>
    <t xml:space="preserve"> ○ 2025년도 교육인원 197명
     - 2024년 73명 + 2025년 124명</t>
    <phoneticPr fontId="9" type="noConversion"/>
  </si>
  <si>
    <t xml:space="preserve"> ○ 2025년도 교육인원 202명
     - 2024년 73명 + 2025년 129명</t>
    <phoneticPr fontId="9" type="noConversion"/>
  </si>
  <si>
    <t>교육훈련진도계획('25.05.26) 적용</t>
    <phoneticPr fontId="9" type="noConversion"/>
  </si>
  <si>
    <t>3.25~3.28(11명)</t>
    <phoneticPr fontId="9" type="noConversion"/>
  </si>
  <si>
    <t>4.23~4.25(16명)</t>
    <phoneticPr fontId="9" type="noConversion"/>
  </si>
  <si>
    <t>5.28~5.30(7명)</t>
    <phoneticPr fontId="9" type="noConversion"/>
  </si>
  <si>
    <t>5.30, 6.13(2명)</t>
    <phoneticPr fontId="9" type="noConversion"/>
  </si>
  <si>
    <t>6.24~6.27(16명)</t>
    <phoneticPr fontId="9" type="noConversion"/>
  </si>
  <si>
    <t>1.23~1.24(6명)
2.26~2.27(5명)</t>
    <phoneticPr fontId="9" type="noConversion"/>
  </si>
  <si>
    <t>※ 2026년도 1월부터 비행 및 SIM 주7일 운영 계획임.</t>
    <phoneticPr fontId="2" type="noConversion"/>
  </si>
  <si>
    <t>7.30~7.31(11명)</t>
    <phoneticPr fontId="2" type="noConversion"/>
  </si>
  <si>
    <t>9.10~9.12(10명)</t>
    <phoneticPr fontId="2" type="noConversion"/>
  </si>
  <si>
    <t>10.29~10.31(9명)</t>
    <phoneticPr fontId="2" type="noConversion"/>
  </si>
  <si>
    <t>26.2월</t>
    <phoneticPr fontId="2" type="noConversion"/>
  </si>
  <si>
    <t>2026년도 정석 KE 신입조종사 양성계획</t>
    <phoneticPr fontId="2" type="noConversion"/>
  </si>
  <si>
    <t>2027년</t>
    <phoneticPr fontId="9" type="noConversion"/>
  </si>
  <si>
    <t>2026년도</t>
    <phoneticPr fontId="9" type="noConversion"/>
  </si>
  <si>
    <t>정석26-1차</t>
    <phoneticPr fontId="9" type="noConversion"/>
  </si>
  <si>
    <t>정석26-2차</t>
    <phoneticPr fontId="9" type="noConversion"/>
  </si>
  <si>
    <t>정석26-3차</t>
  </si>
  <si>
    <t>정석26-4차</t>
  </si>
  <si>
    <t>정석26-5차</t>
  </si>
  <si>
    <t>정석26-6차</t>
  </si>
  <si>
    <t>정석26-7차</t>
  </si>
  <si>
    <t>정석26-8차</t>
  </si>
  <si>
    <t>정석26-9차</t>
  </si>
  <si>
    <t>정석26-10차</t>
  </si>
  <si>
    <t>OZ/LJ</t>
    <phoneticPr fontId="9" type="noConversion"/>
  </si>
  <si>
    <t>이월인원</t>
    <phoneticPr fontId="9" type="noConversion"/>
  </si>
  <si>
    <t>정석25-5차A</t>
    <phoneticPr fontId="9" type="noConversion"/>
  </si>
  <si>
    <t>정석25-5차B</t>
    <phoneticPr fontId="9" type="noConversion"/>
  </si>
  <si>
    <t>정석25-6차A</t>
    <phoneticPr fontId="9" type="noConversion"/>
  </si>
  <si>
    <t>정석25-6차B</t>
    <phoneticPr fontId="9" type="noConversion"/>
  </si>
  <si>
    <t>정석25-7차A</t>
    <phoneticPr fontId="2" type="noConversion"/>
  </si>
  <si>
    <t>정석25-7차B</t>
    <phoneticPr fontId="2" type="noConversion"/>
  </si>
  <si>
    <t>학과 1.17
실기 2.10~2.12</t>
    <phoneticPr fontId="2" type="noConversion"/>
  </si>
  <si>
    <t>학과 1.17
실기 2.24~2.26</t>
    <phoneticPr fontId="2" type="noConversion"/>
  </si>
  <si>
    <t>학과 2.21
실기 3.10~3.12</t>
    <phoneticPr fontId="2" type="noConversion"/>
  </si>
  <si>
    <t>학과 2.21
실기 3.24~3.26</t>
    <phoneticPr fontId="2" type="noConversion"/>
  </si>
  <si>
    <t>학과 3.21
실기 4.7~4.9</t>
    <phoneticPr fontId="2" type="noConversion"/>
  </si>
  <si>
    <t>학과 4.18
실기 5.12~5.14</t>
    <phoneticPr fontId="2" type="noConversion"/>
  </si>
  <si>
    <t>학과 5.23
실기 6.9~6.11</t>
    <phoneticPr fontId="2" type="noConversion"/>
  </si>
  <si>
    <t>학과 6.20
실기 7.28~7.30</t>
    <phoneticPr fontId="2" type="noConversion"/>
  </si>
  <si>
    <t>학과 7.25
실기 9.8~9.10</t>
    <phoneticPr fontId="2" type="noConversion"/>
  </si>
  <si>
    <t>학과 8.22
실기 10.13~10.15</t>
    <phoneticPr fontId="2" type="noConversion"/>
  </si>
  <si>
    <t>학과 10.24
실기 11.10~11.12</t>
    <phoneticPr fontId="2" type="noConversion"/>
  </si>
  <si>
    <t>학과 11.21
실기 12.8~12.10</t>
    <phoneticPr fontId="2" type="noConversion"/>
  </si>
  <si>
    <t>학과 12.12</t>
    <phoneticPr fontId="2" type="noConversion"/>
  </si>
  <si>
    <t>학과 25.12.13
실기 26.1.20~1.22</t>
    <phoneticPr fontId="2" type="noConversion"/>
  </si>
  <si>
    <t xml:space="preserve"> ○ 2026년도 교육인원 285명(2025년 117명 + 2026년 168명)</t>
    <phoneticPr fontId="9" type="noConversion"/>
  </si>
  <si>
    <t>공단 자격증명 
응시 일정</t>
    <phoneticPr fontId="9" type="noConversion"/>
  </si>
  <si>
    <t>학과 25.12.13
실기 25.12.18</t>
    <phoneticPr fontId="2" type="noConversion"/>
  </si>
  <si>
    <t>학과 25.12.13
실기 26.1.13~1.15</t>
    <phoneticPr fontId="2" type="noConversion"/>
  </si>
  <si>
    <t>11.26~11.28(10명)</t>
    <phoneticPr fontId="2" type="noConversion"/>
  </si>
  <si>
    <t>교육훈련진도계획('25.10.30) 적용</t>
    <phoneticPr fontId="9" type="noConversion"/>
  </si>
  <si>
    <t>입과인원(정석 기준)</t>
    <phoneticPr fontId="9" type="noConversion"/>
  </si>
  <si>
    <t>학과 25.12.13(1명)
실기 26.1.21(2명)</t>
    <phoneticPr fontId="2" type="noConversion"/>
  </si>
  <si>
    <t>학과 1.17
실기 3.10~3.12</t>
    <phoneticPr fontId="2" type="noConversion"/>
  </si>
  <si>
    <t>학과 2.21
실기 4.7~4.9</t>
    <phoneticPr fontId="2" type="noConversion"/>
  </si>
  <si>
    <t>학과 3.21
실기 4.21~4.23</t>
    <phoneticPr fontId="2" type="noConversion"/>
  </si>
  <si>
    <t>교육훈련진도계획('26.01.09) 적용</t>
    <phoneticPr fontId="9" type="noConversion"/>
  </si>
  <si>
    <t>학과 8.22
실기 10.27~10.29</t>
    <phoneticPr fontId="2" type="noConversion"/>
  </si>
  <si>
    <t>2025년도 정석 KE 신입조종사 양성실적</t>
    <phoneticPr fontId="2" type="noConversion"/>
  </si>
  <si>
    <t xml:space="preserve"> ○ 2025년도 교육인원 200명
     - 2024년 32명 + 2025년 168명</t>
    <phoneticPr fontId="9" type="noConversion"/>
  </si>
  <si>
    <t xml:space="preserve"> ○ 2026년도 교육인원 223명(2025년 99명 + 2026년 124명)</t>
    <phoneticPr fontId="9" type="noConversion"/>
  </si>
  <si>
    <t>첨부 6.</t>
    <phoneticPr fontId="2" type="noConversion"/>
  </si>
  <si>
    <t>입과일</t>
    <phoneticPr fontId="2" type="noConversion"/>
  </si>
  <si>
    <t xml:space="preserve">정석 </t>
    <phoneticPr fontId="4" type="noConversion"/>
  </si>
  <si>
    <t>OC</t>
    <phoneticPr fontId="2" type="noConversion"/>
  </si>
  <si>
    <t>G/S+FTD</t>
    <phoneticPr fontId="2" type="noConversion"/>
  </si>
  <si>
    <t>교육훈련진도계획('26.01.21) 적용</t>
    <phoneticPr fontId="9" type="noConversion"/>
  </si>
  <si>
    <t>-</t>
    <phoneticPr fontId="2" type="noConversion"/>
  </si>
  <si>
    <t xml:space="preserve"> ※ 정석 입과 기준 : KE 기본교육(11주) 이수 후 정석 입과
     - KE 기본교육(11주) : 신규과정(5주) + 기종학과(2주) + CPT훈련(4주)</t>
    <phoneticPr fontId="9" type="noConversion"/>
  </si>
  <si>
    <t xml:space="preserve"> ○ 2026년도 교육인원 267명(2025년 99명 + 2026년 168명)</t>
    <phoneticPr fontId="9" type="noConversion"/>
  </si>
  <si>
    <t>입과인원
(OC + 정석)</t>
    <phoneticPr fontId="9" type="noConversion"/>
  </si>
  <si>
    <t>학과 1.17
실기 2.24~2.27</t>
    <phoneticPr fontId="2" type="noConversion"/>
  </si>
  <si>
    <t>학과 3.20
실기 4.7~4.9</t>
    <phoneticPr fontId="2" type="noConversion"/>
  </si>
  <si>
    <t>학과 2.20
실기 3.24~3.26</t>
    <phoneticPr fontId="2" type="noConversion"/>
  </si>
  <si>
    <t>학과 4.17
실기 5.12~5.14</t>
    <phoneticPr fontId="2" type="noConversion"/>
  </si>
  <si>
    <t>학과 5.22
실기 6.9~6.11</t>
    <phoneticPr fontId="2" type="noConversion"/>
  </si>
  <si>
    <t>학과 6.19
실기 7.28~7.30</t>
    <phoneticPr fontId="2" type="noConversion"/>
  </si>
  <si>
    <t>학과 7.24
실기 9.8~9.10</t>
    <phoneticPr fontId="2" type="noConversion"/>
  </si>
  <si>
    <t>학과 8.21
실기 10.27~10.29</t>
    <phoneticPr fontId="2" type="noConversion"/>
  </si>
  <si>
    <t>학과 10.23
실기 11.10~11.12</t>
    <phoneticPr fontId="2" type="noConversion"/>
  </si>
  <si>
    <t>학과 11.20
실기 12.8~12.10</t>
    <phoneticPr fontId="2" type="noConversion"/>
  </si>
  <si>
    <t>교육훈련진도계획('26.03.11) 적용</t>
    <phoneticPr fontId="9" type="noConversion"/>
  </si>
  <si>
    <t>KOC</t>
    <phoneticPr fontId="2" type="noConversion"/>
  </si>
  <si>
    <t>학과 2.20
실기 3.24~3.27</t>
    <phoneticPr fontId="2" type="noConversion"/>
  </si>
  <si>
    <t>학과 3.20
실기 4.7~4.10</t>
    <phoneticPr fontId="2" type="noConversion"/>
  </si>
  <si>
    <t>학과 5.23
실기 7.28~7.30</t>
    <phoneticPr fontId="2" type="noConversion"/>
  </si>
  <si>
    <t>학과 6.20
실기 8.11~8.13</t>
    <phoneticPr fontId="2" type="noConversion"/>
  </si>
  <si>
    <t>학과 11.20
실기 27.1월</t>
    <phoneticPr fontId="2" type="noConversion"/>
  </si>
  <si>
    <t>학과 10.23
실기 12.8~12.10</t>
    <phoneticPr fontId="2" type="noConversion"/>
  </si>
  <si>
    <t xml:space="preserve"> ○ 2026년도 교육인원 251명(2025년 99명 + 2026년 152명)</t>
    <phoneticPr fontId="9" type="noConversion"/>
  </si>
  <si>
    <t>수료인원</t>
    <phoneticPr fontId="2" type="noConversion"/>
  </si>
  <si>
    <t>정석 2026년도 KE 신입조종사 양성계획</t>
    <phoneticPr fontId="2" type="noConversion"/>
  </si>
  <si>
    <t>소계/평균</t>
    <phoneticPr fontId="9" type="noConversion"/>
  </si>
  <si>
    <t>합계/평균</t>
    <phoneticPr fontId="9" type="noConversion"/>
  </si>
  <si>
    <t>학과 7.24
실기 10.13~10.15</t>
    <phoneticPr fontId="2" type="noConversion"/>
  </si>
  <si>
    <t>학과 9.12
실기 11.10~11.12</t>
    <phoneticPr fontId="2" type="noConversion"/>
  </si>
  <si>
    <t>학과 4.17
실기 6.9~6.11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</si>
</sst>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_ "/>
    <numFmt numFmtId="177" formatCode="0&quot;명&quot;"/>
    <numFmt numFmtId="178" formatCode="0.0&quot;주&quot;"/>
    <numFmt numFmtId="179" formatCode="0&quot;주&quot;"/>
    <numFmt numFmtId="180" formatCode="0.00000000000000_ "/>
    <numFmt numFmtId="181" formatCode="0.0_);[Red]\(0.0\)"/>
  </numFmts>
  <fonts count="30" x14ac:knownFonts="1">
    <font>
      <sz val="11"/>
      <color theme="1"/>
      <name val="맑은 고딕"/>
      <family val="2"/>
      <charset val="129"/>
      <scheme val="minor"/>
    </font>
    <font>
      <b/>
      <u/>
      <sz val="16"/>
      <color theme="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b/>
      <sz val="16"/>
      <color theme="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3"/>
      <color theme="1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8"/>
      <name val="맑은 고딕"/>
      <family val="2"/>
      <charset val="129"/>
    </font>
    <font>
      <sz val="12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sz val="12"/>
      <name val="맑은 고딕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rgb="FF0000FF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b/>
      <sz val="12"/>
      <name val="맑은 고딕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2"/>
      <color rgb="FF0000FF"/>
      <name val="맑은 고딕"/>
      <family val="3"/>
      <charset val="129"/>
    </font>
    <font>
      <sz val="11"/>
      <color indexed="8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u/>
      <sz val="18"/>
      <color theme="0"/>
      <name val="맑은 고딕"/>
      <family val="3"/>
      <charset val="129"/>
    </font>
    <font>
      <sz val="12"/>
      <color theme="0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13" fillId="0" borderId="0"/>
  </cellStyleXfs>
  <cellXfs count="520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3" borderId="0" xfId="1" applyFont="1" applyFill="1" applyAlignment="1">
      <alignment horizontal="center" vertical="center"/>
    </xf>
    <xf numFmtId="14" fontId="6" fillId="0" borderId="0" xfId="1" applyNumberFormat="1" applyFont="1" applyAlignment="1">
      <alignment horizontal="center" vertical="center"/>
    </xf>
    <xf numFmtId="14" fontId="7" fillId="0" borderId="0" xfId="1" applyNumberFormat="1" applyFont="1" applyAlignment="1">
      <alignment horizontal="center" vertical="center"/>
    </xf>
    <xf numFmtId="0" fontId="4" fillId="0" borderId="0" xfId="1" applyAlignment="1">
      <alignment horizontal="center" vertical="center"/>
    </xf>
    <xf numFmtId="0" fontId="10" fillId="0" borderId="0" xfId="1" applyFont="1" applyAlignment="1">
      <alignment horizontal="center" vertical="center"/>
    </xf>
    <xf numFmtId="176" fontId="10" fillId="0" borderId="0" xfId="1" applyNumberFormat="1" applyFont="1" applyAlignment="1">
      <alignment horizontal="center" vertical="center"/>
    </xf>
    <xf numFmtId="0" fontId="12" fillId="3" borderId="0" xfId="1" applyFont="1" applyFill="1" applyAlignment="1">
      <alignment horizontal="left" vertical="center" wrapText="1"/>
    </xf>
    <xf numFmtId="0" fontId="14" fillId="4" borderId="40" xfId="2" applyFont="1" applyFill="1" applyBorder="1" applyAlignment="1">
      <alignment horizontal="center" vertical="center"/>
    </xf>
    <xf numFmtId="0" fontId="14" fillId="4" borderId="4" xfId="2" applyFont="1" applyFill="1" applyBorder="1" applyAlignment="1">
      <alignment horizontal="center" vertical="center" wrapText="1"/>
    </xf>
    <xf numFmtId="0" fontId="14" fillId="4" borderId="4" xfId="2" applyFont="1" applyFill="1" applyBorder="1" applyAlignment="1">
      <alignment horizontal="center" vertical="center"/>
    </xf>
    <xf numFmtId="0" fontId="14" fillId="4" borderId="41" xfId="2" applyFont="1" applyFill="1" applyBorder="1" applyAlignment="1">
      <alignment horizontal="center" vertical="center"/>
    </xf>
    <xf numFmtId="0" fontId="14" fillId="3" borderId="28" xfId="2" applyFont="1" applyFill="1" applyBorder="1" applyAlignment="1">
      <alignment horizontal="center" vertical="center" wrapText="1"/>
    </xf>
    <xf numFmtId="177" fontId="14" fillId="3" borderId="42" xfId="2" applyNumberFormat="1" applyFont="1" applyFill="1" applyBorder="1" applyAlignment="1">
      <alignment horizontal="center" vertical="center"/>
    </xf>
    <xf numFmtId="177" fontId="14" fillId="3" borderId="27" xfId="2" applyNumberFormat="1" applyFont="1" applyFill="1" applyBorder="1" applyAlignment="1">
      <alignment horizontal="center" vertical="center"/>
    </xf>
    <xf numFmtId="14" fontId="14" fillId="3" borderId="32" xfId="2" applyNumberFormat="1" applyFont="1" applyFill="1" applyBorder="1" applyAlignment="1">
      <alignment horizontal="center" vertical="center"/>
    </xf>
    <xf numFmtId="14" fontId="14" fillId="6" borderId="27" xfId="2" applyNumberFormat="1" applyFont="1" applyFill="1" applyBorder="1" applyAlignment="1">
      <alignment horizontal="center" vertical="center"/>
    </xf>
    <xf numFmtId="14" fontId="16" fillId="7" borderId="43" xfId="2" applyNumberFormat="1" applyFont="1" applyFill="1" applyBorder="1" applyAlignment="1">
      <alignment horizontal="center" vertical="center"/>
    </xf>
    <xf numFmtId="14" fontId="14" fillId="3" borderId="42" xfId="2" applyNumberFormat="1" applyFont="1" applyFill="1" applyBorder="1" applyAlignment="1">
      <alignment horizontal="center" vertical="center"/>
    </xf>
    <xf numFmtId="14" fontId="14" fillId="7" borderId="42" xfId="2" applyNumberFormat="1" applyFont="1" applyFill="1" applyBorder="1" applyAlignment="1">
      <alignment horizontal="center" vertical="center"/>
    </xf>
    <xf numFmtId="178" fontId="14" fillId="3" borderId="44" xfId="2" applyNumberFormat="1" applyFont="1" applyFill="1" applyBorder="1" applyAlignment="1">
      <alignment horizontal="center" vertical="center"/>
    </xf>
    <xf numFmtId="14" fontId="14" fillId="7" borderId="31" xfId="2" applyNumberFormat="1" applyFont="1" applyFill="1" applyBorder="1" applyAlignment="1">
      <alignment horizontal="center" vertical="center"/>
    </xf>
    <xf numFmtId="14" fontId="16" fillId="7" borderId="42" xfId="2" applyNumberFormat="1" applyFont="1" applyFill="1" applyBorder="1" applyAlignment="1">
      <alignment horizontal="center" vertical="center"/>
    </xf>
    <xf numFmtId="178" fontId="14" fillId="3" borderId="46" xfId="2" applyNumberFormat="1" applyFont="1" applyFill="1" applyBorder="1" applyAlignment="1">
      <alignment horizontal="center" vertical="center"/>
    </xf>
    <xf numFmtId="176" fontId="4" fillId="3" borderId="0" xfId="1" applyNumberFormat="1" applyFill="1" applyAlignment="1">
      <alignment horizontal="center" vertical="center"/>
    </xf>
    <xf numFmtId="0" fontId="4" fillId="0" borderId="0" xfId="1" applyAlignment="1">
      <alignment horizontal="left" vertical="center"/>
    </xf>
    <xf numFmtId="0" fontId="14" fillId="3" borderId="47" xfId="2" applyFont="1" applyFill="1" applyBorder="1" applyAlignment="1">
      <alignment horizontal="center" vertical="center" wrapText="1"/>
    </xf>
    <xf numFmtId="177" fontId="14" fillId="3" borderId="8" xfId="2" applyNumberFormat="1" applyFont="1" applyFill="1" applyBorder="1" applyAlignment="1">
      <alignment horizontal="center" vertical="center"/>
    </xf>
    <xf numFmtId="177" fontId="14" fillId="3" borderId="7" xfId="2" applyNumberFormat="1" applyFont="1" applyFill="1" applyBorder="1" applyAlignment="1">
      <alignment horizontal="center" vertical="center"/>
    </xf>
    <xf numFmtId="14" fontId="14" fillId="3" borderId="48" xfId="2" applyNumberFormat="1" applyFont="1" applyFill="1" applyBorder="1" applyAlignment="1">
      <alignment horizontal="center" vertical="center"/>
    </xf>
    <xf numFmtId="179" fontId="14" fillId="6" borderId="7" xfId="2" applyNumberFormat="1" applyFont="1" applyFill="1" applyBorder="1" applyAlignment="1">
      <alignment horizontal="center" vertical="center"/>
    </xf>
    <xf numFmtId="14" fontId="14" fillId="7" borderId="49" xfId="2" applyNumberFormat="1" applyFont="1" applyFill="1" applyBorder="1" applyAlignment="1">
      <alignment horizontal="center" vertical="center"/>
    </xf>
    <xf numFmtId="178" fontId="14" fillId="3" borderId="8" xfId="2" applyNumberFormat="1" applyFont="1" applyFill="1" applyBorder="1" applyAlignment="1">
      <alignment horizontal="center" vertical="center"/>
    </xf>
    <xf numFmtId="178" fontId="14" fillId="7" borderId="8" xfId="2" applyNumberFormat="1" applyFont="1" applyFill="1" applyBorder="1" applyAlignment="1">
      <alignment horizontal="center" vertical="center"/>
    </xf>
    <xf numFmtId="178" fontId="14" fillId="3" borderId="50" xfId="2" applyNumberFormat="1" applyFont="1" applyFill="1" applyBorder="1" applyAlignment="1">
      <alignment horizontal="center" vertical="center"/>
    </xf>
    <xf numFmtId="176" fontId="4" fillId="3" borderId="10" xfId="1" applyNumberFormat="1" applyFill="1" applyBorder="1" applyAlignment="1">
      <alignment horizontal="center" vertical="center"/>
    </xf>
    <xf numFmtId="14" fontId="14" fillId="3" borderId="29" xfId="2" applyNumberFormat="1" applyFont="1" applyFill="1" applyBorder="1" applyAlignment="1">
      <alignment horizontal="center" vertical="center"/>
    </xf>
    <xf numFmtId="14" fontId="14" fillId="7" borderId="29" xfId="2" applyNumberFormat="1" applyFont="1" applyFill="1" applyBorder="1" applyAlignment="1">
      <alignment horizontal="center" vertical="center"/>
    </xf>
    <xf numFmtId="177" fontId="4" fillId="0" borderId="0" xfId="1" applyNumberFormat="1" applyAlignment="1">
      <alignment horizontal="center" vertical="center"/>
    </xf>
    <xf numFmtId="176" fontId="4" fillId="3" borderId="51" xfId="1" applyNumberFormat="1" applyFill="1" applyBorder="1" applyAlignment="1">
      <alignment horizontal="center" vertical="center"/>
    </xf>
    <xf numFmtId="0" fontId="14" fillId="3" borderId="52" xfId="2" applyFont="1" applyFill="1" applyBorder="1" applyAlignment="1">
      <alignment horizontal="center" vertical="center" wrapText="1"/>
    </xf>
    <xf numFmtId="177" fontId="14" fillId="3" borderId="29" xfId="2" applyNumberFormat="1" applyFont="1" applyFill="1" applyBorder="1" applyAlignment="1">
      <alignment horizontal="center" vertical="center"/>
    </xf>
    <xf numFmtId="177" fontId="14" fillId="3" borderId="30" xfId="2" applyNumberFormat="1" applyFont="1" applyFill="1" applyBorder="1" applyAlignment="1">
      <alignment horizontal="center" vertical="center"/>
    </xf>
    <xf numFmtId="14" fontId="14" fillId="3" borderId="53" xfId="2" applyNumberFormat="1" applyFont="1" applyFill="1" applyBorder="1" applyAlignment="1">
      <alignment horizontal="center" vertical="center"/>
    </xf>
    <xf numFmtId="14" fontId="14" fillId="6" borderId="30" xfId="2" applyNumberFormat="1" applyFont="1" applyFill="1" applyBorder="1" applyAlignment="1">
      <alignment horizontal="center" vertical="center"/>
    </xf>
    <xf numFmtId="14" fontId="16" fillId="7" borderId="31" xfId="2" applyNumberFormat="1" applyFont="1" applyFill="1" applyBorder="1" applyAlignment="1">
      <alignment horizontal="center" vertical="center"/>
    </xf>
    <xf numFmtId="0" fontId="14" fillId="3" borderId="36" xfId="2" applyFont="1" applyFill="1" applyBorder="1" applyAlignment="1">
      <alignment horizontal="center" vertical="center" wrapText="1"/>
    </xf>
    <xf numFmtId="177" fontId="14" fillId="3" borderId="37" xfId="2" applyNumberFormat="1" applyFont="1" applyFill="1" applyBorder="1" applyAlignment="1">
      <alignment horizontal="center" vertical="center"/>
    </xf>
    <xf numFmtId="177" fontId="14" fillId="3" borderId="35" xfId="2" applyNumberFormat="1" applyFont="1" applyFill="1" applyBorder="1" applyAlignment="1">
      <alignment horizontal="center" vertical="center"/>
    </xf>
    <xf numFmtId="14" fontId="14" fillId="3" borderId="39" xfId="2" applyNumberFormat="1" applyFont="1" applyFill="1" applyBorder="1" applyAlignment="1">
      <alignment horizontal="center" vertical="center"/>
    </xf>
    <xf numFmtId="179" fontId="14" fillId="6" borderId="35" xfId="2" applyNumberFormat="1" applyFont="1" applyFill="1" applyBorder="1" applyAlignment="1">
      <alignment horizontal="center" vertical="center"/>
    </xf>
    <xf numFmtId="14" fontId="14" fillId="7" borderId="38" xfId="2" applyNumberFormat="1" applyFont="1" applyFill="1" applyBorder="1" applyAlignment="1">
      <alignment horizontal="center" vertical="center"/>
    </xf>
    <xf numFmtId="178" fontId="14" fillId="3" borderId="37" xfId="2" applyNumberFormat="1" applyFont="1" applyFill="1" applyBorder="1" applyAlignment="1">
      <alignment horizontal="center" vertical="center"/>
    </xf>
    <xf numFmtId="178" fontId="14" fillId="7" borderId="37" xfId="2" applyNumberFormat="1" applyFont="1" applyFill="1" applyBorder="1" applyAlignment="1">
      <alignment horizontal="center" vertical="center"/>
    </xf>
    <xf numFmtId="178" fontId="14" fillId="3" borderId="54" xfId="2" applyNumberFormat="1" applyFont="1" applyFill="1" applyBorder="1" applyAlignment="1">
      <alignment horizontal="center" vertical="center"/>
    </xf>
    <xf numFmtId="177" fontId="6" fillId="5" borderId="37" xfId="1" applyNumberFormat="1" applyFont="1" applyFill="1" applyBorder="1" applyAlignment="1">
      <alignment horizontal="center" vertical="center"/>
    </xf>
    <xf numFmtId="177" fontId="6" fillId="5" borderId="55" xfId="1" applyNumberFormat="1" applyFont="1" applyFill="1" applyBorder="1" applyAlignment="1">
      <alignment horizontal="center" vertical="center"/>
    </xf>
    <xf numFmtId="177" fontId="6" fillId="5" borderId="35" xfId="1" applyNumberFormat="1" applyFont="1" applyFill="1" applyBorder="1" applyAlignment="1">
      <alignment horizontal="center" vertical="center"/>
    </xf>
    <xf numFmtId="177" fontId="6" fillId="5" borderId="56" xfId="1" quotePrefix="1" applyNumberFormat="1" applyFont="1" applyFill="1" applyBorder="1" applyAlignment="1">
      <alignment horizontal="center" vertical="center"/>
    </xf>
    <xf numFmtId="177" fontId="6" fillId="5" borderId="35" xfId="1" quotePrefix="1" applyNumberFormat="1" applyFont="1" applyFill="1" applyBorder="1" applyAlignment="1">
      <alignment horizontal="center" vertical="center"/>
    </xf>
    <xf numFmtId="178" fontId="6" fillId="5" borderId="54" xfId="1" quotePrefix="1" applyNumberFormat="1" applyFont="1" applyFill="1" applyBorder="1" applyAlignment="1">
      <alignment horizontal="center" vertical="center"/>
    </xf>
    <xf numFmtId="176" fontId="4" fillId="5" borderId="17" xfId="1" quotePrefix="1" applyNumberFormat="1" applyFill="1" applyBorder="1" applyAlignment="1">
      <alignment horizontal="center" vertical="center"/>
    </xf>
    <xf numFmtId="0" fontId="14" fillId="3" borderId="21" xfId="2" applyFont="1" applyFill="1" applyBorder="1" applyAlignment="1">
      <alignment horizontal="center" vertical="center" wrapText="1"/>
    </xf>
    <xf numFmtId="177" fontId="14" fillId="3" borderId="60" xfId="2" applyNumberFormat="1" applyFont="1" applyFill="1" applyBorder="1" applyAlignment="1">
      <alignment horizontal="center" vertical="center"/>
    </xf>
    <xf numFmtId="177" fontId="14" fillId="3" borderId="20" xfId="2" applyNumberFormat="1" applyFont="1" applyFill="1" applyBorder="1" applyAlignment="1">
      <alignment horizontal="center" vertical="center"/>
    </xf>
    <xf numFmtId="14" fontId="16" fillId="3" borderId="24" xfId="2" applyNumberFormat="1" applyFont="1" applyFill="1" applyBorder="1" applyAlignment="1">
      <alignment horizontal="center" vertical="center"/>
    </xf>
    <xf numFmtId="14" fontId="16" fillId="7" borderId="23" xfId="2" applyNumberFormat="1" applyFont="1" applyFill="1" applyBorder="1" applyAlignment="1">
      <alignment horizontal="center" vertical="center"/>
    </xf>
    <xf numFmtId="14" fontId="14" fillId="3" borderId="60" xfId="2" applyNumberFormat="1" applyFont="1" applyFill="1" applyBorder="1" applyAlignment="1">
      <alignment horizontal="center" vertical="center"/>
    </xf>
    <xf numFmtId="14" fontId="14" fillId="7" borderId="60" xfId="2" applyNumberFormat="1" applyFont="1" applyFill="1" applyBorder="1" applyAlignment="1">
      <alignment horizontal="center" vertical="center"/>
    </xf>
    <xf numFmtId="178" fontId="14" fillId="3" borderId="61" xfId="2" applyNumberFormat="1" applyFont="1" applyFill="1" applyBorder="1" applyAlignment="1">
      <alignment horizontal="center" vertical="center"/>
    </xf>
    <xf numFmtId="14" fontId="4" fillId="0" borderId="0" xfId="1" applyNumberFormat="1" applyAlignment="1">
      <alignment horizontal="center" vertical="center"/>
    </xf>
    <xf numFmtId="178" fontId="4" fillId="0" borderId="0" xfId="1" applyNumberFormat="1" applyAlignment="1">
      <alignment horizontal="center" vertical="center"/>
    </xf>
    <xf numFmtId="179" fontId="14" fillId="3" borderId="48" xfId="2" applyNumberFormat="1" applyFont="1" applyFill="1" applyBorder="1" applyAlignment="1">
      <alignment horizontal="center" vertical="center"/>
    </xf>
    <xf numFmtId="179" fontId="16" fillId="6" borderId="7" xfId="2" applyNumberFormat="1" applyFont="1" applyFill="1" applyBorder="1" applyAlignment="1">
      <alignment horizontal="center" vertical="center"/>
    </xf>
    <xf numFmtId="14" fontId="16" fillId="3" borderId="32" xfId="2" applyNumberFormat="1" applyFont="1" applyFill="1" applyBorder="1" applyAlignment="1">
      <alignment horizontal="center" vertical="center"/>
    </xf>
    <xf numFmtId="180" fontId="4" fillId="0" borderId="0" xfId="1" applyNumberFormat="1" applyAlignment="1">
      <alignment horizontal="center" vertical="center"/>
    </xf>
    <xf numFmtId="181" fontId="4" fillId="0" borderId="0" xfId="1" applyNumberFormat="1" applyAlignment="1">
      <alignment horizontal="center" vertical="center"/>
    </xf>
    <xf numFmtId="14" fontId="17" fillId="7" borderId="31" xfId="2" applyNumberFormat="1" applyFont="1" applyFill="1" applyBorder="1" applyAlignment="1">
      <alignment horizontal="center" vertical="center"/>
    </xf>
    <xf numFmtId="14" fontId="18" fillId="7" borderId="42" xfId="2" applyNumberFormat="1" applyFont="1" applyFill="1" applyBorder="1" applyAlignment="1">
      <alignment horizontal="center" vertical="center"/>
    </xf>
    <xf numFmtId="14" fontId="17" fillId="7" borderId="49" xfId="2" applyNumberFormat="1" applyFont="1" applyFill="1" applyBorder="1" applyAlignment="1">
      <alignment horizontal="center" vertical="center"/>
    </xf>
    <xf numFmtId="178" fontId="17" fillId="7" borderId="8" xfId="2" applyNumberFormat="1" applyFont="1" applyFill="1" applyBorder="1" applyAlignment="1">
      <alignment horizontal="center" vertical="center"/>
    </xf>
    <xf numFmtId="14" fontId="16" fillId="3" borderId="53" xfId="2" applyNumberFormat="1" applyFont="1" applyFill="1" applyBorder="1" applyAlignment="1">
      <alignment horizontal="center" vertical="center"/>
    </xf>
    <xf numFmtId="14" fontId="17" fillId="8" borderId="29" xfId="2" applyNumberFormat="1" applyFont="1" applyFill="1" applyBorder="1" applyAlignment="1">
      <alignment horizontal="center" vertical="center"/>
    </xf>
    <xf numFmtId="14" fontId="17" fillId="3" borderId="42" xfId="2" applyNumberFormat="1" applyFont="1" applyFill="1" applyBorder="1" applyAlignment="1">
      <alignment horizontal="center" vertical="center"/>
    </xf>
    <xf numFmtId="14" fontId="18" fillId="8" borderId="42" xfId="2" applyNumberFormat="1" applyFont="1" applyFill="1" applyBorder="1" applyAlignment="1">
      <alignment horizontal="center" vertical="center"/>
    </xf>
    <xf numFmtId="178" fontId="17" fillId="3" borderId="8" xfId="2" applyNumberFormat="1" applyFont="1" applyFill="1" applyBorder="1" applyAlignment="1">
      <alignment horizontal="center" vertical="center"/>
    </xf>
    <xf numFmtId="178" fontId="17" fillId="8" borderId="8" xfId="2" applyNumberFormat="1" applyFont="1" applyFill="1" applyBorder="1" applyAlignment="1">
      <alignment horizontal="center" vertical="center"/>
    </xf>
    <xf numFmtId="14" fontId="18" fillId="7" borderId="31" xfId="2" applyNumberFormat="1" applyFont="1" applyFill="1" applyBorder="1" applyAlignment="1">
      <alignment horizontal="center" vertical="center"/>
    </xf>
    <xf numFmtId="14" fontId="17" fillId="8" borderId="42" xfId="2" applyNumberFormat="1" applyFont="1" applyFill="1" applyBorder="1" applyAlignment="1">
      <alignment horizontal="center" vertical="center"/>
    </xf>
    <xf numFmtId="14" fontId="18" fillId="8" borderId="43" xfId="2" applyNumberFormat="1" applyFont="1" applyFill="1" applyBorder="1" applyAlignment="1">
      <alignment horizontal="center" vertical="center"/>
    </xf>
    <xf numFmtId="14" fontId="17" fillId="3" borderId="29" xfId="2" applyNumberFormat="1" applyFont="1" applyFill="1" applyBorder="1" applyAlignment="1">
      <alignment horizontal="center" vertical="center"/>
    </xf>
    <xf numFmtId="14" fontId="17" fillId="8" borderId="31" xfId="2" applyNumberFormat="1" applyFont="1" applyFill="1" applyBorder="1" applyAlignment="1">
      <alignment horizontal="center" vertical="center"/>
    </xf>
    <xf numFmtId="14" fontId="17" fillId="8" borderId="49" xfId="2" applyNumberFormat="1" applyFont="1" applyFill="1" applyBorder="1" applyAlignment="1">
      <alignment horizontal="center" vertical="center"/>
    </xf>
    <xf numFmtId="179" fontId="14" fillId="3" borderId="39" xfId="2" applyNumberFormat="1" applyFont="1" applyFill="1" applyBorder="1" applyAlignment="1">
      <alignment horizontal="center" vertical="center"/>
    </xf>
    <xf numFmtId="179" fontId="16" fillId="6" borderId="39" xfId="2" applyNumberFormat="1" applyFont="1" applyFill="1" applyBorder="1" applyAlignment="1">
      <alignment horizontal="center" vertical="center"/>
    </xf>
    <xf numFmtId="14" fontId="17" fillId="8" borderId="38" xfId="2" applyNumberFormat="1" applyFont="1" applyFill="1" applyBorder="1" applyAlignment="1">
      <alignment horizontal="center" vertical="center"/>
    </xf>
    <xf numFmtId="178" fontId="17" fillId="3" borderId="37" xfId="2" applyNumberFormat="1" applyFont="1" applyFill="1" applyBorder="1" applyAlignment="1">
      <alignment horizontal="center" vertical="center"/>
    </xf>
    <xf numFmtId="178" fontId="17" fillId="8" borderId="37" xfId="2" applyNumberFormat="1" applyFont="1" applyFill="1" applyBorder="1" applyAlignment="1">
      <alignment horizontal="center" vertical="center"/>
    </xf>
    <xf numFmtId="177" fontId="6" fillId="5" borderId="38" xfId="1" quotePrefix="1" applyNumberFormat="1" applyFont="1" applyFill="1" applyBorder="1" applyAlignment="1">
      <alignment horizontal="center" vertical="center"/>
    </xf>
    <xf numFmtId="176" fontId="4" fillId="0" borderId="0" xfId="1" applyNumberFormat="1" applyAlignment="1">
      <alignment horizontal="center" vertical="center"/>
    </xf>
    <xf numFmtId="14" fontId="17" fillId="3" borderId="31" xfId="2" applyNumberFormat="1" applyFont="1" applyFill="1" applyBorder="1" applyAlignment="1">
      <alignment horizontal="center" vertical="center"/>
    </xf>
    <xf numFmtId="14" fontId="17" fillId="3" borderId="49" xfId="2" applyNumberFormat="1" applyFont="1" applyFill="1" applyBorder="1" applyAlignment="1">
      <alignment horizontal="center" vertical="center"/>
    </xf>
    <xf numFmtId="14" fontId="17" fillId="3" borderId="38" xfId="2" applyNumberFormat="1" applyFont="1" applyFill="1" applyBorder="1" applyAlignment="1">
      <alignment horizontal="center" vertical="center"/>
    </xf>
    <xf numFmtId="0" fontId="14" fillId="4" borderId="35" xfId="2" applyFont="1" applyFill="1" applyBorder="1" applyAlignment="1">
      <alignment horizontal="center" vertical="center"/>
    </xf>
    <xf numFmtId="177" fontId="14" fillId="3" borderId="54" xfId="2" applyNumberFormat="1" applyFont="1" applyFill="1" applyBorder="1" applyAlignment="1">
      <alignment horizontal="center" vertical="center"/>
    </xf>
    <xf numFmtId="14" fontId="16" fillId="3" borderId="31" xfId="2" applyNumberFormat="1" applyFont="1" applyFill="1" applyBorder="1" applyAlignment="1">
      <alignment horizontal="center" vertical="center"/>
    </xf>
    <xf numFmtId="0" fontId="14" fillId="4" borderId="64" xfId="2" applyFont="1" applyFill="1" applyBorder="1" applyAlignment="1">
      <alignment horizontal="center" vertical="center"/>
    </xf>
    <xf numFmtId="177" fontId="14" fillId="3" borderId="65" xfId="2" applyNumberFormat="1" applyFont="1" applyFill="1" applyBorder="1" applyAlignment="1">
      <alignment horizontal="center" vertical="center"/>
    </xf>
    <xf numFmtId="177" fontId="14" fillId="3" borderId="66" xfId="2" applyNumberFormat="1" applyFont="1" applyFill="1" applyBorder="1" applyAlignment="1">
      <alignment horizontal="center" vertical="center"/>
    </xf>
    <xf numFmtId="177" fontId="14" fillId="3" borderId="67" xfId="2" applyNumberFormat="1" applyFont="1" applyFill="1" applyBorder="1" applyAlignment="1">
      <alignment horizontal="center" vertical="center"/>
    </xf>
    <xf numFmtId="177" fontId="14" fillId="3" borderId="68" xfId="2" applyNumberFormat="1" applyFont="1" applyFill="1" applyBorder="1" applyAlignment="1">
      <alignment horizontal="center" vertical="center"/>
    </xf>
    <xf numFmtId="177" fontId="6" fillId="5" borderId="69" xfId="1" applyNumberFormat="1" applyFont="1" applyFill="1" applyBorder="1" applyAlignment="1">
      <alignment horizontal="center" vertical="center"/>
    </xf>
    <xf numFmtId="0" fontId="14" fillId="4" borderId="14" xfId="2" applyFont="1" applyFill="1" applyBorder="1" applyAlignment="1">
      <alignment horizontal="center" vertical="center"/>
    </xf>
    <xf numFmtId="177" fontId="6" fillId="5" borderId="59" xfId="1" applyNumberFormat="1" applyFont="1" applyFill="1" applyBorder="1" applyAlignment="1">
      <alignment horizontal="center" vertical="center"/>
    </xf>
    <xf numFmtId="14" fontId="17" fillId="7" borderId="42" xfId="2" applyNumberFormat="1" applyFont="1" applyFill="1" applyBorder="1" applyAlignment="1">
      <alignment horizontal="center" vertical="center"/>
    </xf>
    <xf numFmtId="178" fontId="17" fillId="7" borderId="37" xfId="2" applyNumberFormat="1" applyFont="1" applyFill="1" applyBorder="1" applyAlignment="1">
      <alignment horizontal="center" vertical="center"/>
    </xf>
    <xf numFmtId="14" fontId="16" fillId="3" borderId="43" xfId="2" applyNumberFormat="1" applyFont="1" applyFill="1" applyBorder="1" applyAlignment="1">
      <alignment horizontal="center" vertical="center"/>
    </xf>
    <xf numFmtId="14" fontId="14" fillId="3" borderId="31" xfId="2" applyNumberFormat="1" applyFont="1" applyFill="1" applyBorder="1" applyAlignment="1">
      <alignment horizontal="center" vertical="center"/>
    </xf>
    <xf numFmtId="14" fontId="14" fillId="3" borderId="49" xfId="2" applyNumberFormat="1" applyFont="1" applyFill="1" applyBorder="1" applyAlignment="1">
      <alignment horizontal="center" vertical="center"/>
    </xf>
    <xf numFmtId="14" fontId="16" fillId="3" borderId="42" xfId="2" applyNumberFormat="1" applyFont="1" applyFill="1" applyBorder="1" applyAlignment="1">
      <alignment horizontal="center" vertical="center"/>
    </xf>
    <xf numFmtId="178" fontId="17" fillId="7" borderId="44" xfId="2" applyNumberFormat="1" applyFont="1" applyFill="1" applyBorder="1" applyAlignment="1">
      <alignment horizontal="center" vertical="center"/>
    </xf>
    <xf numFmtId="178" fontId="17" fillId="7" borderId="46" xfId="2" applyNumberFormat="1" applyFont="1" applyFill="1" applyBorder="1" applyAlignment="1">
      <alignment horizontal="center" vertical="center"/>
    </xf>
    <xf numFmtId="178" fontId="17" fillId="7" borderId="50" xfId="2" applyNumberFormat="1" applyFont="1" applyFill="1" applyBorder="1" applyAlignment="1">
      <alignment horizontal="center" vertical="center"/>
    </xf>
    <xf numFmtId="178" fontId="17" fillId="7" borderId="54" xfId="2" applyNumberFormat="1" applyFont="1" applyFill="1" applyBorder="1" applyAlignment="1">
      <alignment horizontal="center" vertical="center"/>
    </xf>
    <xf numFmtId="177" fontId="12" fillId="3" borderId="0" xfId="1" applyNumberFormat="1" applyFont="1" applyFill="1" applyAlignment="1">
      <alignment horizontal="left" vertical="center" wrapText="1"/>
    </xf>
    <xf numFmtId="177" fontId="14" fillId="7" borderId="27" xfId="2" applyNumberFormat="1" applyFont="1" applyFill="1" applyBorder="1" applyAlignment="1">
      <alignment horizontal="center" vertical="center"/>
    </xf>
    <xf numFmtId="177" fontId="14" fillId="7" borderId="65" xfId="2" applyNumberFormat="1" applyFont="1" applyFill="1" applyBorder="1" applyAlignment="1">
      <alignment horizontal="center" vertical="center"/>
    </xf>
    <xf numFmtId="177" fontId="14" fillId="7" borderId="42" xfId="2" applyNumberFormat="1" applyFont="1" applyFill="1" applyBorder="1" applyAlignment="1">
      <alignment horizontal="center" vertical="center"/>
    </xf>
    <xf numFmtId="177" fontId="14" fillId="7" borderId="66" xfId="2" applyNumberFormat="1" applyFont="1" applyFill="1" applyBorder="1" applyAlignment="1">
      <alignment horizontal="center" vertical="center"/>
    </xf>
    <xf numFmtId="177" fontId="14" fillId="7" borderId="7" xfId="2" applyNumberFormat="1" applyFont="1" applyFill="1" applyBorder="1" applyAlignment="1">
      <alignment horizontal="center" vertical="center"/>
    </xf>
    <xf numFmtId="177" fontId="14" fillId="7" borderId="8" xfId="2" applyNumberFormat="1" applyFont="1" applyFill="1" applyBorder="1" applyAlignment="1">
      <alignment horizontal="center" vertical="center"/>
    </xf>
    <xf numFmtId="0" fontId="16" fillId="7" borderId="28" xfId="2" applyFont="1" applyFill="1" applyBorder="1" applyAlignment="1">
      <alignment horizontal="center" vertical="center" wrapText="1"/>
    </xf>
    <xf numFmtId="0" fontId="14" fillId="7" borderId="28" xfId="2" applyFont="1" applyFill="1" applyBorder="1" applyAlignment="1">
      <alignment horizontal="center" vertical="center" wrapText="1"/>
    </xf>
    <xf numFmtId="0" fontId="14" fillId="7" borderId="50" xfId="2" applyFont="1" applyFill="1" applyBorder="1" applyAlignment="1">
      <alignment horizontal="center" vertical="center" wrapText="1"/>
    </xf>
    <xf numFmtId="178" fontId="14" fillId="7" borderId="44" xfId="2" applyNumberFormat="1" applyFont="1" applyFill="1" applyBorder="1" applyAlignment="1">
      <alignment horizontal="center" vertical="center"/>
    </xf>
    <xf numFmtId="178" fontId="14" fillId="7" borderId="46" xfId="2" applyNumberFormat="1" applyFont="1" applyFill="1" applyBorder="1" applyAlignment="1">
      <alignment horizontal="center" vertical="center"/>
    </xf>
    <xf numFmtId="178" fontId="14" fillId="7" borderId="50" xfId="2" applyNumberFormat="1" applyFont="1" applyFill="1" applyBorder="1" applyAlignment="1">
      <alignment horizontal="center" vertical="center"/>
    </xf>
    <xf numFmtId="177" fontId="14" fillId="3" borderId="46" xfId="2" applyNumberFormat="1" applyFont="1" applyFill="1" applyBorder="1" applyAlignment="1">
      <alignment horizontal="center" vertical="center"/>
    </xf>
    <xf numFmtId="177" fontId="14" fillId="3" borderId="50" xfId="2" applyNumberFormat="1" applyFont="1" applyFill="1" applyBorder="1" applyAlignment="1">
      <alignment horizontal="center" vertical="center"/>
    </xf>
    <xf numFmtId="177" fontId="6" fillId="5" borderId="54" xfId="1" applyNumberFormat="1" applyFont="1" applyFill="1" applyBorder="1" applyAlignment="1">
      <alignment horizontal="center" vertical="center"/>
    </xf>
    <xf numFmtId="177" fontId="14" fillId="7" borderId="46" xfId="2" applyNumberFormat="1" applyFont="1" applyFill="1" applyBorder="1" applyAlignment="1">
      <alignment horizontal="center" vertical="center"/>
    </xf>
    <xf numFmtId="177" fontId="14" fillId="7" borderId="50" xfId="2" applyNumberFormat="1" applyFont="1" applyFill="1" applyBorder="1" applyAlignment="1">
      <alignment horizontal="center" vertical="center"/>
    </xf>
    <xf numFmtId="0" fontId="14" fillId="7" borderId="21" xfId="2" applyFont="1" applyFill="1" applyBorder="1" applyAlignment="1">
      <alignment horizontal="center" vertical="center" wrapText="1"/>
    </xf>
    <xf numFmtId="177" fontId="14" fillId="7" borderId="70" xfId="2" applyNumberFormat="1" applyFont="1" applyFill="1" applyBorder="1" applyAlignment="1">
      <alignment horizontal="center" vertical="center"/>
    </xf>
    <xf numFmtId="177" fontId="14" fillId="7" borderId="20" xfId="2" applyNumberFormat="1" applyFont="1" applyFill="1" applyBorder="1" applyAlignment="1">
      <alignment horizontal="center" vertical="center"/>
    </xf>
    <xf numFmtId="177" fontId="14" fillId="7" borderId="60" xfId="2" applyNumberFormat="1" applyFont="1" applyFill="1" applyBorder="1" applyAlignment="1">
      <alignment horizontal="center" vertical="center"/>
    </xf>
    <xf numFmtId="178" fontId="14" fillId="7" borderId="61" xfId="2" applyNumberFormat="1" applyFont="1" applyFill="1" applyBorder="1" applyAlignment="1">
      <alignment horizontal="center" vertical="center"/>
    </xf>
    <xf numFmtId="0" fontId="14" fillId="7" borderId="47" xfId="2" applyFont="1" applyFill="1" applyBorder="1" applyAlignment="1">
      <alignment horizontal="center" vertical="center" wrapText="1"/>
    </xf>
    <xf numFmtId="0" fontId="14" fillId="7" borderId="36" xfId="2" applyFont="1" applyFill="1" applyBorder="1" applyAlignment="1">
      <alignment horizontal="center" vertical="center" wrapText="1"/>
    </xf>
    <xf numFmtId="177" fontId="14" fillId="7" borderId="68" xfId="2" applyNumberFormat="1" applyFont="1" applyFill="1" applyBorder="1" applyAlignment="1">
      <alignment horizontal="center" vertical="center"/>
    </xf>
    <xf numFmtId="177" fontId="14" fillId="7" borderId="35" xfId="2" applyNumberFormat="1" applyFont="1" applyFill="1" applyBorder="1" applyAlignment="1">
      <alignment horizontal="center" vertical="center"/>
    </xf>
    <xf numFmtId="177" fontId="14" fillId="7" borderId="37" xfId="2" applyNumberFormat="1" applyFont="1" applyFill="1" applyBorder="1" applyAlignment="1">
      <alignment horizontal="center" vertical="center"/>
    </xf>
    <xf numFmtId="177" fontId="14" fillId="7" borderId="54" xfId="2" applyNumberFormat="1" applyFont="1" applyFill="1" applyBorder="1" applyAlignment="1">
      <alignment horizontal="center" vertical="center"/>
    </xf>
    <xf numFmtId="178" fontId="14" fillId="7" borderId="54" xfId="2" applyNumberFormat="1" applyFont="1" applyFill="1" applyBorder="1" applyAlignment="1">
      <alignment horizontal="center" vertical="center"/>
    </xf>
    <xf numFmtId="177" fontId="14" fillId="9" borderId="65" xfId="2" applyNumberFormat="1" applyFont="1" applyFill="1" applyBorder="1" applyAlignment="1">
      <alignment horizontal="center" vertical="center"/>
    </xf>
    <xf numFmtId="177" fontId="14" fillId="9" borderId="27" xfId="2" applyNumberFormat="1" applyFont="1" applyFill="1" applyBorder="1" applyAlignment="1">
      <alignment horizontal="center" vertical="center"/>
    </xf>
    <xf numFmtId="177" fontId="14" fillId="9" borderId="42" xfId="2" applyNumberFormat="1" applyFont="1" applyFill="1" applyBorder="1" applyAlignment="1">
      <alignment horizontal="center" vertical="center"/>
    </xf>
    <xf numFmtId="177" fontId="14" fillId="9" borderId="46" xfId="2" applyNumberFormat="1" applyFont="1" applyFill="1" applyBorder="1" applyAlignment="1">
      <alignment horizontal="center" vertical="center"/>
    </xf>
    <xf numFmtId="14" fontId="16" fillId="9" borderId="43" xfId="2" applyNumberFormat="1" applyFont="1" applyFill="1" applyBorder="1" applyAlignment="1">
      <alignment horizontal="center" vertical="center"/>
    </xf>
    <xf numFmtId="14" fontId="14" fillId="9" borderId="42" xfId="2" applyNumberFormat="1" applyFont="1" applyFill="1" applyBorder="1" applyAlignment="1">
      <alignment horizontal="center" vertical="center"/>
    </xf>
    <xf numFmtId="14" fontId="14" fillId="9" borderId="29" xfId="2" applyNumberFormat="1" applyFont="1" applyFill="1" applyBorder="1" applyAlignment="1">
      <alignment horizontal="center" vertical="center"/>
    </xf>
    <xf numFmtId="178" fontId="14" fillId="9" borderId="44" xfId="2" applyNumberFormat="1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14" fontId="14" fillId="9" borderId="31" xfId="2" applyNumberFormat="1" applyFont="1" applyFill="1" applyBorder="1" applyAlignment="1">
      <alignment horizontal="center" vertical="center"/>
    </xf>
    <xf numFmtId="14" fontId="16" fillId="9" borderId="42" xfId="2" applyNumberFormat="1" applyFont="1" applyFill="1" applyBorder="1" applyAlignment="1">
      <alignment horizontal="center" vertical="center"/>
    </xf>
    <xf numFmtId="178" fontId="14" fillId="9" borderId="46" xfId="2" applyNumberFormat="1" applyFont="1" applyFill="1" applyBorder="1" applyAlignment="1">
      <alignment horizontal="center" vertical="center"/>
    </xf>
    <xf numFmtId="0" fontId="16" fillId="9" borderId="47" xfId="2" applyFont="1" applyFill="1" applyBorder="1" applyAlignment="1">
      <alignment horizontal="center" vertical="center" wrapText="1"/>
    </xf>
    <xf numFmtId="177" fontId="14" fillId="9" borderId="66" xfId="2" applyNumberFormat="1" applyFont="1" applyFill="1" applyBorder="1" applyAlignment="1">
      <alignment horizontal="center" vertical="center"/>
    </xf>
    <xf numFmtId="177" fontId="14" fillId="9" borderId="7" xfId="2" applyNumberFormat="1" applyFont="1" applyFill="1" applyBorder="1" applyAlignment="1">
      <alignment horizontal="center" vertical="center"/>
    </xf>
    <xf numFmtId="177" fontId="14" fillId="9" borderId="8" xfId="2" applyNumberFormat="1" applyFont="1" applyFill="1" applyBorder="1" applyAlignment="1">
      <alignment horizontal="center" vertical="center"/>
    </xf>
    <xf numFmtId="177" fontId="14" fillId="9" borderId="50" xfId="2" applyNumberFormat="1" applyFont="1" applyFill="1" applyBorder="1" applyAlignment="1">
      <alignment horizontal="center" vertical="center"/>
    </xf>
    <xf numFmtId="14" fontId="14" fillId="9" borderId="49" xfId="2" applyNumberFormat="1" applyFont="1" applyFill="1" applyBorder="1" applyAlignment="1">
      <alignment horizontal="center" vertical="center"/>
    </xf>
    <xf numFmtId="178" fontId="14" fillId="9" borderId="8" xfId="2" applyNumberFormat="1" applyFont="1" applyFill="1" applyBorder="1" applyAlignment="1">
      <alignment horizontal="center" vertical="center"/>
    </xf>
    <xf numFmtId="178" fontId="14" fillId="9" borderId="50" xfId="2" applyNumberFormat="1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 wrapText="1"/>
    </xf>
    <xf numFmtId="177" fontId="14" fillId="9" borderId="67" xfId="2" applyNumberFormat="1" applyFont="1" applyFill="1" applyBorder="1" applyAlignment="1">
      <alignment horizontal="center" vertical="center"/>
    </xf>
    <xf numFmtId="177" fontId="14" fillId="9" borderId="30" xfId="2" applyNumberFormat="1" applyFont="1" applyFill="1" applyBorder="1" applyAlignment="1">
      <alignment horizontal="center" vertical="center"/>
    </xf>
    <xf numFmtId="177" fontId="18" fillId="9" borderId="29" xfId="2" applyNumberFormat="1" applyFont="1" applyFill="1" applyBorder="1" applyAlignment="1">
      <alignment horizontal="center" vertical="center"/>
    </xf>
    <xf numFmtId="0" fontId="16" fillId="9" borderId="46" xfId="2" applyFont="1" applyFill="1" applyBorder="1" applyAlignment="1">
      <alignment horizontal="center" vertical="center" wrapText="1"/>
    </xf>
    <xf numFmtId="177" fontId="17" fillId="9" borderId="42" xfId="2" applyNumberFormat="1" applyFont="1" applyFill="1" applyBorder="1" applyAlignment="1">
      <alignment horizontal="center" vertical="center"/>
    </xf>
    <xf numFmtId="0" fontId="16" fillId="9" borderId="50" xfId="2" applyFont="1" applyFill="1" applyBorder="1" applyAlignment="1">
      <alignment horizontal="center" vertical="center" wrapText="1"/>
    </xf>
    <xf numFmtId="177" fontId="17" fillId="9" borderId="8" xfId="2" applyNumberFormat="1" applyFont="1" applyFill="1" applyBorder="1" applyAlignment="1">
      <alignment horizontal="center" vertical="center"/>
    </xf>
    <xf numFmtId="177" fontId="18" fillId="9" borderId="42" xfId="2" applyNumberFormat="1" applyFont="1" applyFill="1" applyBorder="1" applyAlignment="1">
      <alignment horizontal="center" vertical="center"/>
    </xf>
    <xf numFmtId="177" fontId="18" fillId="7" borderId="42" xfId="2" applyNumberFormat="1" applyFont="1" applyFill="1" applyBorder="1" applyAlignment="1">
      <alignment horizontal="center" vertical="center"/>
    </xf>
    <xf numFmtId="177" fontId="17" fillId="7" borderId="42" xfId="2" applyNumberFormat="1" applyFont="1" applyFill="1" applyBorder="1" applyAlignment="1">
      <alignment horizontal="center" vertical="center"/>
    </xf>
    <xf numFmtId="177" fontId="17" fillId="7" borderId="8" xfId="2" applyNumberFormat="1" applyFont="1" applyFill="1" applyBorder="1" applyAlignment="1">
      <alignment horizontal="center" vertical="center"/>
    </xf>
    <xf numFmtId="14" fontId="15" fillId="9" borderId="43" xfId="2" applyNumberFormat="1" applyFont="1" applyFill="1" applyBorder="1" applyAlignment="1">
      <alignment horizontal="center" vertical="center"/>
    </xf>
    <xf numFmtId="178" fontId="16" fillId="9" borderId="8" xfId="2" applyNumberFormat="1" applyFont="1" applyFill="1" applyBorder="1" applyAlignment="1">
      <alignment horizontal="center" vertical="center"/>
    </xf>
    <xf numFmtId="178" fontId="16" fillId="7" borderId="8" xfId="2" applyNumberFormat="1" applyFont="1" applyFill="1" applyBorder="1" applyAlignment="1">
      <alignment horizontal="center" vertical="center"/>
    </xf>
    <xf numFmtId="178" fontId="16" fillId="7" borderId="37" xfId="2" applyNumberFormat="1" applyFont="1" applyFill="1" applyBorder="1" applyAlignment="1">
      <alignment horizontal="center" vertical="center"/>
    </xf>
    <xf numFmtId="177" fontId="14" fillId="3" borderId="70" xfId="2" applyNumberFormat="1" applyFont="1" applyFill="1" applyBorder="1" applyAlignment="1">
      <alignment horizontal="center" vertical="center"/>
    </xf>
    <xf numFmtId="14" fontId="16" fillId="3" borderId="23" xfId="2" applyNumberFormat="1" applyFont="1" applyFill="1" applyBorder="1" applyAlignment="1">
      <alignment horizontal="center" vertical="center"/>
    </xf>
    <xf numFmtId="178" fontId="16" fillId="3" borderId="8" xfId="2" applyNumberFormat="1" applyFont="1" applyFill="1" applyBorder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24" fillId="3" borderId="17" xfId="1" applyFont="1" applyFill="1" applyBorder="1" applyAlignment="1">
      <alignment horizontal="center" vertical="center" wrapText="1"/>
    </xf>
    <xf numFmtId="0" fontId="16" fillId="3" borderId="28" xfId="2" applyFont="1" applyFill="1" applyBorder="1" applyAlignment="1">
      <alignment horizontal="center" vertical="center" wrapText="1"/>
    </xf>
    <xf numFmtId="177" fontId="18" fillId="3" borderId="42" xfId="2" applyNumberFormat="1" applyFont="1" applyFill="1" applyBorder="1" applyAlignment="1">
      <alignment horizontal="center" vertical="center"/>
    </xf>
    <xf numFmtId="0" fontId="16" fillId="3" borderId="47" xfId="2" applyFont="1" applyFill="1" applyBorder="1" applyAlignment="1">
      <alignment horizontal="center" vertical="center" wrapText="1"/>
    </xf>
    <xf numFmtId="0" fontId="14" fillId="3" borderId="54" xfId="2" applyFont="1" applyFill="1" applyBorder="1" applyAlignment="1">
      <alignment horizontal="center" vertical="center" wrapText="1"/>
    </xf>
    <xf numFmtId="177" fontId="6" fillId="5" borderId="68" xfId="1" applyNumberFormat="1" applyFont="1" applyFill="1" applyBorder="1" applyAlignment="1">
      <alignment horizontal="center" vertical="center"/>
    </xf>
    <xf numFmtId="14" fontId="14" fillId="5" borderId="29" xfId="2" applyNumberFormat="1" applyFont="1" applyFill="1" applyBorder="1" applyAlignment="1">
      <alignment horizontal="center" vertical="center"/>
    </xf>
    <xf numFmtId="178" fontId="14" fillId="5" borderId="44" xfId="2" applyNumberFormat="1" applyFont="1" applyFill="1" applyBorder="1" applyAlignment="1">
      <alignment horizontal="center" vertical="center"/>
    </xf>
    <xf numFmtId="14" fontId="16" fillId="5" borderId="42" xfId="2" applyNumberFormat="1" applyFont="1" applyFill="1" applyBorder="1" applyAlignment="1">
      <alignment horizontal="center" vertical="center"/>
    </xf>
    <xf numFmtId="178" fontId="14" fillId="5" borderId="46" xfId="2" applyNumberFormat="1" applyFont="1" applyFill="1" applyBorder="1" applyAlignment="1">
      <alignment horizontal="center" vertical="center"/>
    </xf>
    <xf numFmtId="178" fontId="14" fillId="5" borderId="8" xfId="2" applyNumberFormat="1" applyFont="1" applyFill="1" applyBorder="1" applyAlignment="1">
      <alignment horizontal="center" vertical="center"/>
    </xf>
    <xf numFmtId="178" fontId="14" fillId="5" borderId="50" xfId="2" applyNumberFormat="1" applyFont="1" applyFill="1" applyBorder="1" applyAlignment="1">
      <alignment horizontal="center" vertical="center"/>
    </xf>
    <xf numFmtId="14" fontId="16" fillId="5" borderId="43" xfId="2" applyNumberFormat="1" applyFont="1" applyFill="1" applyBorder="1" applyAlignment="1">
      <alignment horizontal="center" vertical="center"/>
    </xf>
    <xf numFmtId="14" fontId="14" fillId="5" borderId="31" xfId="2" applyNumberFormat="1" applyFont="1" applyFill="1" applyBorder="1" applyAlignment="1">
      <alignment horizontal="center" vertical="center"/>
    </xf>
    <xf numFmtId="14" fontId="14" fillId="5" borderId="42" xfId="2" applyNumberFormat="1" applyFont="1" applyFill="1" applyBorder="1" applyAlignment="1">
      <alignment horizontal="center" vertical="center"/>
    </xf>
    <xf numFmtId="14" fontId="14" fillId="5" borderId="49" xfId="2" applyNumberFormat="1" applyFont="1" applyFill="1" applyBorder="1" applyAlignment="1">
      <alignment horizontal="center" vertical="center"/>
    </xf>
    <xf numFmtId="178" fontId="16" fillId="5" borderId="8" xfId="2" applyNumberFormat="1" applyFont="1" applyFill="1" applyBorder="1" applyAlignment="1">
      <alignment horizontal="center" vertical="center"/>
    </xf>
    <xf numFmtId="0" fontId="16" fillId="3" borderId="44" xfId="2" applyFont="1" applyFill="1" applyBorder="1" applyAlignment="1">
      <alignment horizontal="center" vertical="center" wrapText="1"/>
    </xf>
    <xf numFmtId="0" fontId="16" fillId="3" borderId="46" xfId="2" applyFont="1" applyFill="1" applyBorder="1" applyAlignment="1">
      <alignment horizontal="center" vertical="center" wrapText="1"/>
    </xf>
    <xf numFmtId="177" fontId="17" fillId="3" borderId="42" xfId="2" applyNumberFormat="1" applyFont="1" applyFill="1" applyBorder="1" applyAlignment="1">
      <alignment horizontal="center" vertical="center"/>
    </xf>
    <xf numFmtId="0" fontId="16" fillId="3" borderId="50" xfId="2" applyFont="1" applyFill="1" applyBorder="1" applyAlignment="1">
      <alignment horizontal="center" vertical="center" wrapText="1"/>
    </xf>
    <xf numFmtId="177" fontId="17" fillId="3" borderId="8" xfId="2" applyNumberFormat="1" applyFont="1" applyFill="1" applyBorder="1" applyAlignment="1">
      <alignment horizontal="center" vertical="center"/>
    </xf>
    <xf numFmtId="0" fontId="14" fillId="3" borderId="50" xfId="2" applyFont="1" applyFill="1" applyBorder="1" applyAlignment="1">
      <alignment horizontal="center" vertical="center" wrapText="1"/>
    </xf>
    <xf numFmtId="14" fontId="14" fillId="5" borderId="38" xfId="2" applyNumberFormat="1" applyFont="1" applyFill="1" applyBorder="1" applyAlignment="1">
      <alignment horizontal="center" vertical="center"/>
    </xf>
    <xf numFmtId="178" fontId="14" fillId="5" borderId="37" xfId="2" applyNumberFormat="1" applyFont="1" applyFill="1" applyBorder="1" applyAlignment="1">
      <alignment horizontal="center" vertical="center"/>
    </xf>
    <xf numFmtId="178" fontId="16" fillId="5" borderId="37" xfId="2" applyNumberFormat="1" applyFont="1" applyFill="1" applyBorder="1" applyAlignment="1">
      <alignment horizontal="center" vertical="center"/>
    </xf>
    <xf numFmtId="178" fontId="14" fillId="5" borderId="54" xfId="2" applyNumberFormat="1" applyFont="1" applyFill="1" applyBorder="1" applyAlignment="1">
      <alignment horizontal="center" vertical="center"/>
    </xf>
    <xf numFmtId="177" fontId="6" fillId="7" borderId="69" xfId="1" applyNumberFormat="1" applyFont="1" applyFill="1" applyBorder="1" applyAlignment="1">
      <alignment horizontal="center" vertical="center"/>
    </xf>
    <xf numFmtId="177" fontId="6" fillId="7" borderId="35" xfId="1" applyNumberFormat="1" applyFont="1" applyFill="1" applyBorder="1" applyAlignment="1">
      <alignment horizontal="center" vertical="center"/>
    </xf>
    <xf numFmtId="177" fontId="6" fillId="7" borderId="55" xfId="1" applyNumberFormat="1" applyFont="1" applyFill="1" applyBorder="1" applyAlignment="1">
      <alignment horizontal="center" vertical="center"/>
    </xf>
    <xf numFmtId="177" fontId="6" fillId="7" borderId="54" xfId="1" applyNumberFormat="1" applyFont="1" applyFill="1" applyBorder="1" applyAlignment="1">
      <alignment horizontal="center" vertical="center"/>
    </xf>
    <xf numFmtId="178" fontId="6" fillId="7" borderId="54" xfId="1" quotePrefix="1" applyNumberFormat="1" applyFont="1" applyFill="1" applyBorder="1" applyAlignment="1">
      <alignment horizontal="center" vertical="center"/>
    </xf>
    <xf numFmtId="176" fontId="4" fillId="7" borderId="17" xfId="1" quotePrefix="1" applyNumberFormat="1" applyFill="1" applyBorder="1" applyAlignment="1">
      <alignment horizontal="center" vertical="center"/>
    </xf>
    <xf numFmtId="14" fontId="17" fillId="5" borderId="29" xfId="2" applyNumberFormat="1" applyFont="1" applyFill="1" applyBorder="1" applyAlignment="1">
      <alignment horizontal="center" vertical="center"/>
    </xf>
    <xf numFmtId="14" fontId="17" fillId="5" borderId="42" xfId="2" applyNumberFormat="1" applyFont="1" applyFill="1" applyBorder="1" applyAlignment="1">
      <alignment horizontal="center" vertical="center"/>
    </xf>
    <xf numFmtId="14" fontId="18" fillId="5" borderId="42" xfId="2" applyNumberFormat="1" applyFont="1" applyFill="1" applyBorder="1" applyAlignment="1">
      <alignment horizontal="center" vertical="center"/>
    </xf>
    <xf numFmtId="178" fontId="17" fillId="5" borderId="46" xfId="2" applyNumberFormat="1" applyFont="1" applyFill="1" applyBorder="1" applyAlignment="1">
      <alignment horizontal="center" vertical="center"/>
    </xf>
    <xf numFmtId="178" fontId="18" fillId="5" borderId="8" xfId="2" applyNumberFormat="1" applyFont="1" applyFill="1" applyBorder="1" applyAlignment="1">
      <alignment horizontal="center" vertical="center"/>
    </xf>
    <xf numFmtId="178" fontId="17" fillId="5" borderId="8" xfId="2" applyNumberFormat="1" applyFont="1" applyFill="1" applyBorder="1" applyAlignment="1">
      <alignment horizontal="center" vertical="center"/>
    </xf>
    <xf numFmtId="178" fontId="17" fillId="5" borderId="50" xfId="2" applyNumberFormat="1" applyFont="1" applyFill="1" applyBorder="1" applyAlignment="1">
      <alignment horizontal="center" vertical="center"/>
    </xf>
    <xf numFmtId="178" fontId="18" fillId="5" borderId="37" xfId="2" applyNumberFormat="1" applyFont="1" applyFill="1" applyBorder="1" applyAlignment="1">
      <alignment horizontal="center" vertical="center"/>
    </xf>
    <xf numFmtId="178" fontId="17" fillId="5" borderId="37" xfId="2" applyNumberFormat="1" applyFont="1" applyFill="1" applyBorder="1" applyAlignment="1">
      <alignment horizontal="center" vertical="center"/>
    </xf>
    <xf numFmtId="178" fontId="17" fillId="5" borderId="54" xfId="2" applyNumberFormat="1" applyFont="1" applyFill="1" applyBorder="1" applyAlignment="1">
      <alignment horizontal="center" vertical="center"/>
    </xf>
    <xf numFmtId="177" fontId="18" fillId="3" borderId="46" xfId="2" applyNumberFormat="1" applyFont="1" applyFill="1" applyBorder="1" applyAlignment="1">
      <alignment horizontal="center" vertical="center"/>
    </xf>
    <xf numFmtId="177" fontId="16" fillId="3" borderId="29" xfId="2" applyNumberFormat="1" applyFont="1" applyFill="1" applyBorder="1" applyAlignment="1">
      <alignment horizontal="center" vertical="center"/>
    </xf>
    <xf numFmtId="14" fontId="16" fillId="5" borderId="23" xfId="2" applyNumberFormat="1" applyFont="1" applyFill="1" applyBorder="1" applyAlignment="1">
      <alignment horizontal="center" vertical="center"/>
    </xf>
    <xf numFmtId="14" fontId="14" fillId="5" borderId="60" xfId="2" applyNumberFormat="1" applyFont="1" applyFill="1" applyBorder="1" applyAlignment="1">
      <alignment horizontal="center" vertical="center"/>
    </xf>
    <xf numFmtId="178" fontId="14" fillId="5" borderId="61" xfId="2" applyNumberFormat="1" applyFont="1" applyFill="1" applyBorder="1" applyAlignment="1">
      <alignment horizontal="center" vertical="center"/>
    </xf>
    <xf numFmtId="14" fontId="16" fillId="5" borderId="31" xfId="2" applyNumberFormat="1" applyFont="1" applyFill="1" applyBorder="1" applyAlignment="1">
      <alignment horizontal="center" vertical="center"/>
    </xf>
    <xf numFmtId="177" fontId="17" fillId="3" borderId="29" xfId="2" applyNumberFormat="1" applyFont="1" applyFill="1" applyBorder="1" applyAlignment="1">
      <alignment horizontal="center" vertical="center"/>
    </xf>
    <xf numFmtId="0" fontId="14" fillId="3" borderId="44" xfId="2" applyFont="1" applyFill="1" applyBorder="1" applyAlignment="1">
      <alignment horizontal="center" vertical="center" wrapText="1"/>
    </xf>
    <xf numFmtId="0" fontId="14" fillId="3" borderId="46" xfId="2" applyFont="1" applyFill="1" applyBorder="1" applyAlignment="1">
      <alignment horizontal="center" vertical="center" wrapText="1"/>
    </xf>
    <xf numFmtId="14" fontId="17" fillId="5" borderId="60" xfId="2" applyNumberFormat="1" applyFont="1" applyFill="1" applyBorder="1" applyAlignment="1">
      <alignment horizontal="center" vertical="center"/>
    </xf>
    <xf numFmtId="177" fontId="14" fillId="3" borderId="61" xfId="2" applyNumberFormat="1" applyFont="1" applyFill="1" applyBorder="1" applyAlignment="1">
      <alignment horizontal="center" vertical="center"/>
    </xf>
    <xf numFmtId="14" fontId="15" fillId="5" borderId="31" xfId="2" applyNumberFormat="1" applyFont="1" applyFill="1" applyBorder="1" applyAlignment="1">
      <alignment horizontal="center" vertical="center"/>
    </xf>
    <xf numFmtId="14" fontId="26" fillId="5" borderId="29" xfId="2" applyNumberFormat="1" applyFont="1" applyFill="1" applyBorder="1" applyAlignment="1">
      <alignment horizontal="center" vertical="center"/>
    </xf>
    <xf numFmtId="14" fontId="26" fillId="5" borderId="42" xfId="2" applyNumberFormat="1" applyFont="1" applyFill="1" applyBorder="1" applyAlignment="1">
      <alignment horizontal="center" vertical="center"/>
    </xf>
    <xf numFmtId="14" fontId="15" fillId="5" borderId="42" xfId="2" applyNumberFormat="1" applyFont="1" applyFill="1" applyBorder="1" applyAlignment="1">
      <alignment horizontal="center" vertical="center"/>
    </xf>
    <xf numFmtId="178" fontId="26" fillId="5" borderId="8" xfId="2" applyNumberFormat="1" applyFont="1" applyFill="1" applyBorder="1" applyAlignment="1">
      <alignment horizontal="center" vertical="center"/>
    </xf>
    <xf numFmtId="0" fontId="27" fillId="0" borderId="0" xfId="1" applyFont="1" applyAlignment="1">
      <alignment horizontal="center" vertical="center"/>
    </xf>
    <xf numFmtId="0" fontId="14" fillId="4" borderId="40" xfId="2" applyFont="1" applyFill="1" applyBorder="1" applyAlignment="1">
      <alignment horizontal="center" vertical="center" wrapText="1"/>
    </xf>
    <xf numFmtId="0" fontId="6" fillId="4" borderId="72" xfId="1" applyFont="1" applyFill="1" applyBorder="1" applyAlignment="1">
      <alignment horizontal="center" vertical="center" wrapText="1"/>
    </xf>
    <xf numFmtId="0" fontId="14" fillId="4" borderId="68" xfId="2" applyFont="1" applyFill="1" applyBorder="1" applyAlignment="1">
      <alignment horizontal="center" vertical="center"/>
    </xf>
    <xf numFmtId="14" fontId="14" fillId="5" borderId="27" xfId="2" applyNumberFormat="1" applyFont="1" applyFill="1" applyBorder="1" applyAlignment="1">
      <alignment horizontal="center" vertical="center"/>
    </xf>
    <xf numFmtId="178" fontId="14" fillId="5" borderId="7" xfId="2" applyNumberFormat="1" applyFont="1" applyFill="1" applyBorder="1" applyAlignment="1">
      <alignment horizontal="center" vertical="center"/>
    </xf>
    <xf numFmtId="14" fontId="16" fillId="5" borderId="53" xfId="2" applyNumberFormat="1" applyFont="1" applyFill="1" applyBorder="1" applyAlignment="1">
      <alignment horizontal="center" vertical="center"/>
    </xf>
    <xf numFmtId="14" fontId="14" fillId="5" borderId="32" xfId="2" applyNumberFormat="1" applyFont="1" applyFill="1" applyBorder="1" applyAlignment="1">
      <alignment horizontal="center" vertical="center"/>
    </xf>
    <xf numFmtId="14" fontId="14" fillId="5" borderId="39" xfId="2" applyNumberFormat="1" applyFont="1" applyFill="1" applyBorder="1" applyAlignment="1">
      <alignment horizontal="center" vertical="center"/>
    </xf>
    <xf numFmtId="177" fontId="6" fillId="7" borderId="39" xfId="1" applyNumberFormat="1" applyFont="1" applyFill="1" applyBorder="1" applyAlignment="1">
      <alignment horizontal="center" vertical="center"/>
    </xf>
    <xf numFmtId="14" fontId="16" fillId="3" borderId="48" xfId="2" applyNumberFormat="1" applyFont="1" applyFill="1" applyBorder="1" applyAlignment="1">
      <alignment horizontal="center" vertical="center"/>
    </xf>
    <xf numFmtId="178" fontId="14" fillId="5" borderId="38" xfId="2" applyNumberFormat="1" applyFont="1" applyFill="1" applyBorder="1" applyAlignment="1">
      <alignment horizontal="center" vertical="center"/>
    </xf>
    <xf numFmtId="14" fontId="16" fillId="10" borderId="43" xfId="2" applyNumberFormat="1" applyFont="1" applyFill="1" applyBorder="1" applyAlignment="1">
      <alignment horizontal="center" vertical="center"/>
    </xf>
    <xf numFmtId="14" fontId="14" fillId="10" borderId="31" xfId="2" applyNumberFormat="1" applyFont="1" applyFill="1" applyBorder="1" applyAlignment="1">
      <alignment horizontal="center" vertical="center"/>
    </xf>
    <xf numFmtId="14" fontId="14" fillId="10" borderId="49" xfId="2" applyNumberFormat="1" applyFont="1" applyFill="1" applyBorder="1" applyAlignment="1">
      <alignment horizontal="center" vertical="center"/>
    </xf>
    <xf numFmtId="14" fontId="16" fillId="10" borderId="30" xfId="2" applyNumberFormat="1" applyFont="1" applyFill="1" applyBorder="1" applyAlignment="1">
      <alignment horizontal="center" vertical="center"/>
    </xf>
    <xf numFmtId="14" fontId="14" fillId="10" borderId="27" xfId="2" applyNumberFormat="1" applyFont="1" applyFill="1" applyBorder="1" applyAlignment="1">
      <alignment horizontal="center" vertical="center"/>
    </xf>
    <xf numFmtId="14" fontId="14" fillId="10" borderId="7" xfId="2" applyNumberFormat="1" applyFont="1" applyFill="1" applyBorder="1" applyAlignment="1">
      <alignment horizontal="center" vertical="center"/>
    </xf>
    <xf numFmtId="14" fontId="14" fillId="10" borderId="35" xfId="2" applyNumberFormat="1" applyFont="1" applyFill="1" applyBorder="1" applyAlignment="1">
      <alignment horizontal="center" vertical="center"/>
    </xf>
    <xf numFmtId="177" fontId="6" fillId="5" borderId="17" xfId="1" quotePrefix="1" applyNumberFormat="1" applyFont="1" applyFill="1" applyBorder="1" applyAlignment="1">
      <alignment horizontal="center" vertical="center"/>
    </xf>
    <xf numFmtId="177" fontId="26" fillId="3" borderId="60" xfId="2" applyNumberFormat="1" applyFont="1" applyFill="1" applyBorder="1" applyAlignment="1">
      <alignment horizontal="center" vertical="center"/>
    </xf>
    <xf numFmtId="177" fontId="26" fillId="3" borderId="42" xfId="2" applyNumberFormat="1" applyFont="1" applyFill="1" applyBorder="1" applyAlignment="1">
      <alignment horizontal="center" vertical="center"/>
    </xf>
    <xf numFmtId="177" fontId="26" fillId="3" borderId="8" xfId="2" applyNumberFormat="1" applyFont="1" applyFill="1" applyBorder="1" applyAlignment="1">
      <alignment horizontal="center" vertical="center"/>
    </xf>
    <xf numFmtId="14" fontId="18" fillId="5" borderId="60" xfId="2" applyNumberFormat="1" applyFont="1" applyFill="1" applyBorder="1" applyAlignment="1">
      <alignment horizontal="center" vertical="center"/>
    </xf>
    <xf numFmtId="0" fontId="18" fillId="4" borderId="4" xfId="2" applyFont="1" applyFill="1" applyBorder="1" applyAlignment="1">
      <alignment horizontal="center" vertical="center" wrapText="1"/>
    </xf>
    <xf numFmtId="14" fontId="18" fillId="3" borderId="32" xfId="2" applyNumberFormat="1" applyFont="1" applyFill="1" applyBorder="1" applyAlignment="1">
      <alignment horizontal="center" vertical="center"/>
    </xf>
    <xf numFmtId="14" fontId="18" fillId="3" borderId="24" xfId="2" applyNumberFormat="1" applyFont="1" applyFill="1" applyBorder="1" applyAlignment="1">
      <alignment horizontal="center" vertical="center"/>
    </xf>
    <xf numFmtId="0" fontId="16" fillId="4" borderId="4" xfId="2" applyFont="1" applyFill="1" applyBorder="1" applyAlignment="1">
      <alignment horizontal="center" vertical="center" wrapText="1"/>
    </xf>
    <xf numFmtId="14" fontId="15" fillId="5" borderId="27" xfId="2" applyNumberFormat="1" applyFont="1" applyFill="1" applyBorder="1" applyAlignment="1">
      <alignment horizontal="center" vertical="center"/>
    </xf>
    <xf numFmtId="177" fontId="26" fillId="3" borderId="27" xfId="2" applyNumberFormat="1" applyFont="1" applyFill="1" applyBorder="1" applyAlignment="1">
      <alignment horizontal="center" vertical="center"/>
    </xf>
    <xf numFmtId="177" fontId="24" fillId="3" borderId="17" xfId="1" applyNumberFormat="1" applyFont="1" applyFill="1" applyBorder="1" applyAlignment="1">
      <alignment horizontal="center" vertical="center" wrapText="1"/>
    </xf>
    <xf numFmtId="0" fontId="19" fillId="3" borderId="12" xfId="1" applyFont="1" applyFill="1" applyBorder="1" applyAlignment="1">
      <alignment horizontal="left" vertical="center" wrapText="1"/>
    </xf>
    <xf numFmtId="177" fontId="29" fillId="3" borderId="0" xfId="1" applyNumberFormat="1" applyFont="1" applyFill="1" applyAlignment="1">
      <alignment horizontal="left" vertical="center" wrapText="1"/>
    </xf>
    <xf numFmtId="0" fontId="18" fillId="0" borderId="0" xfId="1" applyFont="1" applyAlignment="1">
      <alignment horizontal="center" vertical="center"/>
    </xf>
    <xf numFmtId="178" fontId="6" fillId="5" borderId="55" xfId="1" quotePrefix="1" applyNumberFormat="1" applyFont="1" applyFill="1" applyBorder="1" applyAlignment="1">
      <alignment horizontal="center" vertical="center"/>
    </xf>
    <xf numFmtId="178" fontId="6" fillId="5" borderId="75" xfId="1" quotePrefix="1" applyNumberFormat="1" applyFont="1" applyFill="1" applyBorder="1" applyAlignment="1">
      <alignment horizontal="center" vertical="center"/>
    </xf>
    <xf numFmtId="178" fontId="6" fillId="5" borderId="17" xfId="1" quotePrefix="1" applyNumberFormat="1" applyFont="1" applyFill="1" applyBorder="1" applyAlignment="1">
      <alignment horizontal="center" vertical="center"/>
    </xf>
    <xf numFmtId="177" fontId="6" fillId="7" borderId="62" xfId="1" applyNumberFormat="1" applyFont="1" applyFill="1" applyBorder="1" applyAlignment="1">
      <alignment horizontal="center" vertical="center"/>
    </xf>
    <xf numFmtId="178" fontId="16" fillId="7" borderId="55" xfId="1" quotePrefix="1" applyNumberFormat="1" applyFont="1" applyFill="1" applyBorder="1" applyAlignment="1">
      <alignment horizontal="center" vertical="center"/>
    </xf>
    <xf numFmtId="178" fontId="14" fillId="3" borderId="52" xfId="2" applyNumberFormat="1" applyFont="1" applyFill="1" applyBorder="1" applyAlignment="1">
      <alignment horizontal="center" vertical="center"/>
    </xf>
    <xf numFmtId="178" fontId="14" fillId="3" borderId="28" xfId="2" applyNumberFormat="1" applyFont="1" applyFill="1" applyBorder="1" applyAlignment="1">
      <alignment horizontal="center" vertical="center"/>
    </xf>
    <xf numFmtId="178" fontId="14" fillId="3" borderId="47" xfId="2" applyNumberFormat="1" applyFont="1" applyFill="1" applyBorder="1" applyAlignment="1">
      <alignment horizontal="center" vertical="center"/>
    </xf>
    <xf numFmtId="178" fontId="14" fillId="5" borderId="52" xfId="2" applyNumberFormat="1" applyFont="1" applyFill="1" applyBorder="1" applyAlignment="1">
      <alignment horizontal="center" vertical="center"/>
    </xf>
    <xf numFmtId="178" fontId="14" fillId="5" borderId="28" xfId="2" applyNumberFormat="1" applyFont="1" applyFill="1" applyBorder="1" applyAlignment="1">
      <alignment horizontal="center" vertical="center"/>
    </xf>
    <xf numFmtId="178" fontId="14" fillId="5" borderId="47" xfId="2" applyNumberFormat="1" applyFont="1" applyFill="1" applyBorder="1" applyAlignment="1">
      <alignment horizontal="center" vertical="center"/>
    </xf>
    <xf numFmtId="178" fontId="14" fillId="5" borderId="36" xfId="2" applyNumberFormat="1" applyFont="1" applyFill="1" applyBorder="1" applyAlignment="1">
      <alignment horizontal="center" vertical="center"/>
    </xf>
    <xf numFmtId="178" fontId="6" fillId="7" borderId="36" xfId="1" quotePrefix="1" applyNumberFormat="1" applyFont="1" applyFill="1" applyBorder="1" applyAlignment="1">
      <alignment horizontal="center" vertical="center"/>
    </xf>
    <xf numFmtId="178" fontId="14" fillId="5" borderId="21" xfId="2" applyNumberFormat="1" applyFont="1" applyFill="1" applyBorder="1" applyAlignment="1">
      <alignment horizontal="center" vertical="center"/>
    </xf>
    <xf numFmtId="178" fontId="17" fillId="5" borderId="28" xfId="2" applyNumberFormat="1" applyFont="1" applyFill="1" applyBorder="1" applyAlignment="1">
      <alignment horizontal="center" vertical="center"/>
    </xf>
    <xf numFmtId="178" fontId="17" fillId="5" borderId="47" xfId="2" applyNumberFormat="1" applyFont="1" applyFill="1" applyBorder="1" applyAlignment="1">
      <alignment horizontal="center" vertical="center"/>
    </xf>
    <xf numFmtId="178" fontId="17" fillId="5" borderId="36" xfId="2" applyNumberFormat="1" applyFont="1" applyFill="1" applyBorder="1" applyAlignment="1">
      <alignment horizontal="center" vertical="center"/>
    </xf>
    <xf numFmtId="178" fontId="6" fillId="5" borderId="36" xfId="1" quotePrefix="1" applyNumberFormat="1" applyFont="1" applyFill="1" applyBorder="1" applyAlignment="1">
      <alignment horizontal="center" vertical="center"/>
    </xf>
    <xf numFmtId="14" fontId="14" fillId="3" borderId="44" xfId="2" applyNumberFormat="1" applyFont="1" applyFill="1" applyBorder="1" applyAlignment="1">
      <alignment horizontal="center" vertical="center"/>
    </xf>
    <xf numFmtId="14" fontId="16" fillId="3" borderId="46" xfId="2" applyNumberFormat="1" applyFont="1" applyFill="1" applyBorder="1" applyAlignment="1">
      <alignment horizontal="center" vertical="center"/>
    </xf>
    <xf numFmtId="14" fontId="14" fillId="5" borderId="44" xfId="2" applyNumberFormat="1" applyFont="1" applyFill="1" applyBorder="1" applyAlignment="1">
      <alignment horizontal="center" vertical="center"/>
    </xf>
    <xf numFmtId="14" fontId="16" fillId="5" borderId="46" xfId="2" applyNumberFormat="1" applyFont="1" applyFill="1" applyBorder="1" applyAlignment="1">
      <alignment horizontal="center" vertical="center"/>
    </xf>
    <xf numFmtId="178" fontId="16" fillId="7" borderId="75" xfId="1" quotePrefix="1" applyNumberFormat="1" applyFont="1" applyFill="1" applyBorder="1" applyAlignment="1">
      <alignment horizontal="center" vertical="center"/>
    </xf>
    <xf numFmtId="14" fontId="14" fillId="5" borderId="61" xfId="2" applyNumberFormat="1" applyFont="1" applyFill="1" applyBorder="1" applyAlignment="1">
      <alignment horizontal="center" vertical="center"/>
    </xf>
    <xf numFmtId="178" fontId="16" fillId="5" borderId="50" xfId="2" applyNumberFormat="1" applyFont="1" applyFill="1" applyBorder="1" applyAlignment="1">
      <alignment horizontal="center" vertical="center"/>
    </xf>
    <xf numFmtId="14" fontId="17" fillId="5" borderId="44" xfId="2" applyNumberFormat="1" applyFont="1" applyFill="1" applyBorder="1" applyAlignment="1">
      <alignment horizontal="center" vertical="center"/>
    </xf>
    <xf numFmtId="14" fontId="18" fillId="5" borderId="46" xfId="2" applyNumberFormat="1" applyFont="1" applyFill="1" applyBorder="1" applyAlignment="1">
      <alignment horizontal="center" vertical="center"/>
    </xf>
    <xf numFmtId="0" fontId="16" fillId="4" borderId="3" xfId="2" applyFont="1" applyFill="1" applyBorder="1" applyAlignment="1">
      <alignment horizontal="center" vertical="center" wrapText="1"/>
    </xf>
    <xf numFmtId="14" fontId="14" fillId="3" borderId="27" xfId="2" applyNumberFormat="1" applyFont="1" applyFill="1" applyBorder="1" applyAlignment="1">
      <alignment horizontal="center" vertical="center"/>
    </xf>
    <xf numFmtId="178" fontId="14" fillId="3" borderId="7" xfId="2" applyNumberFormat="1" applyFont="1" applyFill="1" applyBorder="1" applyAlignment="1">
      <alignment horizontal="center" vertical="center"/>
    </xf>
    <xf numFmtId="14" fontId="14" fillId="3" borderId="30" xfId="2" applyNumberFormat="1" applyFont="1" applyFill="1" applyBorder="1" applyAlignment="1">
      <alignment horizontal="center" vertical="center"/>
    </xf>
    <xf numFmtId="178" fontId="16" fillId="7" borderId="59" xfId="1" quotePrefix="1" applyNumberFormat="1" applyFont="1" applyFill="1" applyBorder="1" applyAlignment="1">
      <alignment horizontal="center" vertical="center"/>
    </xf>
    <xf numFmtId="14" fontId="18" fillId="5" borderId="20" xfId="2" applyNumberFormat="1" applyFont="1" applyFill="1" applyBorder="1" applyAlignment="1">
      <alignment horizontal="center" vertical="center"/>
    </xf>
    <xf numFmtId="14" fontId="18" fillId="5" borderId="27" xfId="2" applyNumberFormat="1" applyFont="1" applyFill="1" applyBorder="1" applyAlignment="1">
      <alignment horizontal="center" vertical="center"/>
    </xf>
    <xf numFmtId="14" fontId="17" fillId="5" borderId="27" xfId="2" applyNumberFormat="1" applyFont="1" applyFill="1" applyBorder="1" applyAlignment="1">
      <alignment horizontal="center" vertical="center"/>
    </xf>
    <xf numFmtId="178" fontId="17" fillId="5" borderId="7" xfId="2" applyNumberFormat="1" applyFont="1" applyFill="1" applyBorder="1" applyAlignment="1">
      <alignment horizontal="center" vertical="center"/>
    </xf>
    <xf numFmtId="178" fontId="17" fillId="5" borderId="35" xfId="2" applyNumberFormat="1" applyFont="1" applyFill="1" applyBorder="1" applyAlignment="1">
      <alignment horizontal="center" vertical="center"/>
    </xf>
    <xf numFmtId="178" fontId="6" fillId="5" borderId="59" xfId="1" quotePrefix="1" applyNumberFormat="1" applyFont="1" applyFill="1" applyBorder="1" applyAlignment="1">
      <alignment horizontal="center" vertical="center"/>
    </xf>
    <xf numFmtId="0" fontId="6" fillId="4" borderId="76" xfId="1" applyFont="1" applyFill="1" applyBorder="1" applyAlignment="1">
      <alignment horizontal="center" vertical="center" wrapText="1"/>
    </xf>
    <xf numFmtId="0" fontId="14" fillId="4" borderId="77" xfId="2" applyFont="1" applyFill="1" applyBorder="1" applyAlignment="1">
      <alignment horizontal="center" vertical="center" wrapText="1"/>
    </xf>
    <xf numFmtId="14" fontId="16" fillId="10" borderId="53" xfId="2" applyNumberFormat="1" applyFont="1" applyFill="1" applyBorder="1" applyAlignment="1">
      <alignment horizontal="center" vertical="center"/>
    </xf>
    <xf numFmtId="14" fontId="14" fillId="10" borderId="32" xfId="2" applyNumberFormat="1" applyFont="1" applyFill="1" applyBorder="1" applyAlignment="1">
      <alignment horizontal="center" vertical="center"/>
    </xf>
    <xf numFmtId="14" fontId="14" fillId="10" borderId="48" xfId="2" applyNumberFormat="1" applyFont="1" applyFill="1" applyBorder="1" applyAlignment="1">
      <alignment horizontal="center" vertical="center"/>
    </xf>
    <xf numFmtId="14" fontId="16" fillId="10" borderId="52" xfId="2" applyNumberFormat="1" applyFont="1" applyFill="1" applyBorder="1" applyAlignment="1">
      <alignment horizontal="center" vertical="center"/>
    </xf>
    <xf numFmtId="14" fontId="14" fillId="10" borderId="28" xfId="2" applyNumberFormat="1" applyFont="1" applyFill="1" applyBorder="1" applyAlignment="1">
      <alignment horizontal="center" vertical="center"/>
    </xf>
    <xf numFmtId="14" fontId="14" fillId="10" borderId="47" xfId="2" applyNumberFormat="1" applyFont="1" applyFill="1" applyBorder="1" applyAlignment="1">
      <alignment horizontal="center" vertical="center"/>
    </xf>
    <xf numFmtId="14" fontId="14" fillId="10" borderId="36" xfId="2" applyNumberFormat="1" applyFont="1" applyFill="1" applyBorder="1" applyAlignment="1">
      <alignment horizontal="center" vertical="center"/>
    </xf>
    <xf numFmtId="0" fontId="16" fillId="7" borderId="75" xfId="1" quotePrefix="1" applyFont="1" applyFill="1" applyBorder="1" applyAlignment="1">
      <alignment horizontal="center" vertical="center"/>
    </xf>
    <xf numFmtId="14" fontId="14" fillId="5" borderId="28" xfId="2" applyNumberFormat="1" applyFont="1" applyFill="1" applyBorder="1" applyAlignment="1">
      <alignment horizontal="center" vertical="center"/>
    </xf>
    <xf numFmtId="178" fontId="14" fillId="5" borderId="39" xfId="2" applyNumberFormat="1" applyFont="1" applyFill="1" applyBorder="1" applyAlignment="1">
      <alignment horizontal="center" vertical="center"/>
    </xf>
    <xf numFmtId="178" fontId="6" fillId="5" borderId="39" xfId="1" quotePrefix="1" applyNumberFormat="1" applyFont="1" applyFill="1" applyBorder="1" applyAlignment="1">
      <alignment horizontal="center" vertical="center"/>
    </xf>
    <xf numFmtId="178" fontId="6" fillId="5" borderId="56" xfId="1" quotePrefix="1" applyNumberFormat="1" applyFont="1" applyFill="1" applyBorder="1" applyAlignment="1">
      <alignment horizontal="center" vertical="center"/>
    </xf>
    <xf numFmtId="178" fontId="15" fillId="5" borderId="8" xfId="2" applyNumberFormat="1" applyFont="1" applyFill="1" applyBorder="1" applyAlignment="1">
      <alignment horizontal="center" vertical="center"/>
    </xf>
    <xf numFmtId="178" fontId="15" fillId="5" borderId="50" xfId="2" applyNumberFormat="1" applyFont="1" applyFill="1" applyBorder="1" applyAlignment="1">
      <alignment horizontal="center" vertical="center"/>
    </xf>
    <xf numFmtId="178" fontId="14" fillId="3" borderId="35" xfId="2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36" xfId="1" applyFont="1" applyFill="1" applyBorder="1" applyAlignment="1">
      <alignment horizontal="center" vertical="center"/>
    </xf>
    <xf numFmtId="0" fontId="6" fillId="5" borderId="58" xfId="1" applyFont="1" applyFill="1" applyBorder="1" applyAlignment="1">
      <alignment horizontal="center" vertical="center"/>
    </xf>
    <xf numFmtId="0" fontId="6" fillId="5" borderId="63" xfId="1" applyFont="1" applyFill="1" applyBorder="1" applyAlignment="1">
      <alignment horizontal="center" vertical="center"/>
    </xf>
    <xf numFmtId="0" fontId="19" fillId="3" borderId="12" xfId="1" applyFont="1" applyFill="1" applyBorder="1" applyAlignment="1">
      <alignment horizontal="left" vertical="center" wrapText="1"/>
    </xf>
    <xf numFmtId="0" fontId="6" fillId="7" borderId="17" xfId="1" applyFont="1" applyFill="1" applyBorder="1" applyAlignment="1">
      <alignment horizontal="center" vertical="center"/>
    </xf>
    <xf numFmtId="0" fontId="6" fillId="7" borderId="36" xfId="1" applyFont="1" applyFill="1" applyBorder="1" applyAlignment="1">
      <alignment horizontal="center" vertical="center"/>
    </xf>
    <xf numFmtId="0" fontId="4" fillId="0" borderId="0" xfId="1" applyAlignment="1">
      <alignment horizontal="center" vertical="center"/>
    </xf>
    <xf numFmtId="0" fontId="16" fillId="4" borderId="20" xfId="2" applyFont="1" applyFill="1" applyBorder="1" applyAlignment="1">
      <alignment horizontal="center" vertical="center" wrapText="1"/>
    </xf>
    <xf numFmtId="0" fontId="16" fillId="4" borderId="27" xfId="2" applyFont="1" applyFill="1" applyBorder="1" applyAlignment="1">
      <alignment horizontal="center" vertical="center" wrapText="1"/>
    </xf>
    <xf numFmtId="0" fontId="16" fillId="4" borderId="35" xfId="2" applyFont="1" applyFill="1" applyBorder="1" applyAlignment="1">
      <alignment horizontal="center" vertical="center" wrapText="1"/>
    </xf>
    <xf numFmtId="176" fontId="14" fillId="5" borderId="12" xfId="1" applyNumberFormat="1" applyFont="1" applyFill="1" applyBorder="1" applyAlignment="1">
      <alignment horizontal="left" vertical="center" wrapText="1"/>
    </xf>
    <xf numFmtId="176" fontId="14" fillId="5" borderId="0" xfId="1" applyNumberFormat="1" applyFont="1" applyFill="1" applyAlignment="1">
      <alignment horizontal="left" vertical="center"/>
    </xf>
    <xf numFmtId="176" fontId="14" fillId="5" borderId="10" xfId="1" applyNumberFormat="1" applyFont="1" applyFill="1" applyBorder="1" applyAlignment="1">
      <alignment horizontal="left" vertical="center"/>
    </xf>
    <xf numFmtId="176" fontId="14" fillId="5" borderId="45" xfId="1" applyNumberFormat="1" applyFont="1" applyFill="1" applyBorder="1" applyAlignment="1">
      <alignment horizontal="left" vertical="center" wrapText="1"/>
    </xf>
    <xf numFmtId="176" fontId="17" fillId="5" borderId="45" xfId="1" applyNumberFormat="1" applyFont="1" applyFill="1" applyBorder="1" applyAlignment="1">
      <alignment horizontal="left" vertical="center" wrapText="1"/>
    </xf>
    <xf numFmtId="176" fontId="17" fillId="5" borderId="0" xfId="1" applyNumberFormat="1" applyFont="1" applyFill="1" applyAlignment="1">
      <alignment horizontal="left" vertical="center"/>
    </xf>
    <xf numFmtId="176" fontId="17" fillId="5" borderId="10" xfId="1" applyNumberFormat="1" applyFont="1" applyFill="1" applyBorder="1" applyAlignment="1">
      <alignment horizontal="left" vertical="center"/>
    </xf>
    <xf numFmtId="176" fontId="17" fillId="5" borderId="45" xfId="1" applyNumberFormat="1" applyFont="1" applyFill="1" applyBorder="1" applyAlignment="1">
      <alignment horizontal="center" vertical="center"/>
    </xf>
    <xf numFmtId="176" fontId="17" fillId="5" borderId="0" xfId="1" applyNumberFormat="1" applyFont="1" applyFill="1" applyAlignment="1">
      <alignment horizontal="center" vertical="center"/>
    </xf>
    <xf numFmtId="176" fontId="17" fillId="5" borderId="10" xfId="1" applyNumberFormat="1" applyFont="1" applyFill="1" applyBorder="1" applyAlignment="1">
      <alignment horizontal="center" vertical="center"/>
    </xf>
    <xf numFmtId="176" fontId="17" fillId="5" borderId="17" xfId="1" applyNumberFormat="1" applyFont="1" applyFill="1" applyBorder="1" applyAlignment="1">
      <alignment horizontal="center" vertical="center"/>
    </xf>
    <xf numFmtId="176" fontId="14" fillId="5" borderId="51" xfId="1" applyNumberFormat="1" applyFont="1" applyFill="1" applyBorder="1" applyAlignment="1">
      <alignment horizontal="left" vertical="center" wrapText="1"/>
    </xf>
    <xf numFmtId="176" fontId="14" fillId="5" borderId="71" xfId="1" applyNumberFormat="1" applyFont="1" applyFill="1" applyBorder="1" applyAlignment="1">
      <alignment horizontal="left" vertical="center"/>
    </xf>
    <xf numFmtId="176" fontId="14" fillId="5" borderId="62" xfId="1" applyNumberFormat="1" applyFont="1" applyFill="1" applyBorder="1" applyAlignment="1">
      <alignment horizontal="left" vertical="center"/>
    </xf>
    <xf numFmtId="176" fontId="4" fillId="4" borderId="73" xfId="1" applyNumberFormat="1" applyFill="1" applyBorder="1" applyAlignment="1">
      <alignment horizontal="center" vertical="center" wrapText="1"/>
    </xf>
    <xf numFmtId="176" fontId="4" fillId="4" borderId="71" xfId="1" applyNumberFormat="1" applyFill="1" applyBorder="1" applyAlignment="1">
      <alignment horizontal="center" vertical="center" wrapText="1"/>
    </xf>
    <xf numFmtId="176" fontId="4" fillId="4" borderId="62" xfId="1" applyNumberFormat="1" applyFill="1" applyBorder="1" applyAlignment="1">
      <alignment horizontal="center" vertical="center" wrapText="1"/>
    </xf>
    <xf numFmtId="0" fontId="14" fillId="4" borderId="51" xfId="2" applyFont="1" applyFill="1" applyBorder="1" applyAlignment="1">
      <alignment horizontal="center" vertical="center"/>
    </xf>
    <xf numFmtId="0" fontId="14" fillId="4" borderId="30" xfId="2" applyFont="1" applyFill="1" applyBorder="1" applyAlignment="1">
      <alignment horizontal="center" vertical="center"/>
    </xf>
    <xf numFmtId="0" fontId="14" fillId="4" borderId="74" xfId="2" applyFont="1" applyFill="1" applyBorder="1" applyAlignment="1">
      <alignment horizontal="center" vertical="center"/>
    </xf>
    <xf numFmtId="0" fontId="14" fillId="4" borderId="7" xfId="2" applyFont="1" applyFill="1" applyBorder="1" applyAlignment="1">
      <alignment horizontal="center" vertical="center"/>
    </xf>
    <xf numFmtId="0" fontId="14" fillId="4" borderId="29" xfId="2" applyFont="1" applyFill="1" applyBorder="1" applyAlignment="1">
      <alignment horizontal="center" vertical="center"/>
    </xf>
    <xf numFmtId="0" fontId="14" fillId="4" borderId="8" xfId="2" applyFont="1" applyFill="1" applyBorder="1" applyAlignment="1">
      <alignment horizontal="center" vertical="center"/>
    </xf>
    <xf numFmtId="0" fontId="6" fillId="4" borderId="74" xfId="1" applyFont="1" applyFill="1" applyBorder="1" applyAlignment="1">
      <alignment horizontal="center" vertical="center"/>
    </xf>
    <xf numFmtId="0" fontId="6" fillId="4" borderId="10" xfId="1" applyFont="1" applyFill="1" applyBorder="1" applyAlignment="1">
      <alignment horizontal="center" vertical="center"/>
    </xf>
    <xf numFmtId="0" fontId="6" fillId="4" borderId="47" xfId="1" applyFont="1" applyFill="1" applyBorder="1" applyAlignment="1">
      <alignment horizontal="center" vertical="center"/>
    </xf>
    <xf numFmtId="0" fontId="14" fillId="4" borderId="53" xfId="2" applyFont="1" applyFill="1" applyBorder="1" applyAlignment="1">
      <alignment horizontal="center" vertical="center"/>
    </xf>
    <xf numFmtId="0" fontId="14" fillId="4" borderId="39" xfId="2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/>
    </xf>
    <xf numFmtId="0" fontId="6" fillId="4" borderId="34" xfId="1" applyFont="1" applyFill="1" applyBorder="1" applyAlignment="1">
      <alignment horizontal="center" vertical="center"/>
    </xf>
    <xf numFmtId="0" fontId="14" fillId="4" borderId="52" xfId="2" applyFont="1" applyFill="1" applyBorder="1" applyAlignment="1">
      <alignment horizontal="center" vertical="center"/>
    </xf>
    <xf numFmtId="0" fontId="14" fillId="4" borderId="36" xfId="2" applyFont="1" applyFill="1" applyBorder="1" applyAlignment="1">
      <alignment horizontal="center" vertical="center"/>
    </xf>
    <xf numFmtId="176" fontId="14" fillId="3" borderId="45" xfId="1" applyNumberFormat="1" applyFont="1" applyFill="1" applyBorder="1" applyAlignment="1">
      <alignment horizontal="left" vertical="center" wrapText="1" shrinkToFit="1"/>
    </xf>
    <xf numFmtId="176" fontId="14" fillId="3" borderId="0" xfId="1" applyNumberFormat="1" applyFont="1" applyFill="1" applyAlignment="1">
      <alignment horizontal="left" vertical="center" shrinkToFit="1"/>
    </xf>
    <xf numFmtId="176" fontId="14" fillId="3" borderId="10" xfId="1" applyNumberFormat="1" applyFont="1" applyFill="1" applyBorder="1" applyAlignment="1">
      <alignment horizontal="left" vertical="center" shrinkToFit="1"/>
    </xf>
    <xf numFmtId="176" fontId="14" fillId="3" borderId="45" xfId="1" applyNumberFormat="1" applyFont="1" applyFill="1" applyBorder="1" applyAlignment="1">
      <alignment horizontal="left" vertical="center" wrapText="1"/>
    </xf>
    <xf numFmtId="176" fontId="14" fillId="3" borderId="0" xfId="1" applyNumberFormat="1" applyFont="1" applyFill="1" applyAlignment="1">
      <alignment horizontal="left" vertical="center"/>
    </xf>
    <xf numFmtId="176" fontId="14" fillId="3" borderId="10" xfId="1" applyNumberFormat="1" applyFont="1" applyFill="1" applyBorder="1" applyAlignment="1">
      <alignment horizontal="left" vertical="center"/>
    </xf>
    <xf numFmtId="177" fontId="11" fillId="0" borderId="5" xfId="1" applyNumberFormat="1" applyFont="1" applyBorder="1" applyAlignment="1">
      <alignment horizontal="center" vertical="center"/>
    </xf>
    <xf numFmtId="177" fontId="11" fillId="0" borderId="3" xfId="1" applyNumberFormat="1" applyFont="1" applyBorder="1" applyAlignment="1">
      <alignment horizontal="center" vertical="center"/>
    </xf>
    <xf numFmtId="0" fontId="14" fillId="4" borderId="20" xfId="2" applyFont="1" applyFill="1" applyBorder="1" applyAlignment="1">
      <alignment horizontal="center" vertical="center"/>
    </xf>
    <xf numFmtId="0" fontId="14" fillId="4" borderId="27" xfId="2" applyFont="1" applyFill="1" applyBorder="1" applyAlignment="1">
      <alignment horizontal="center" vertical="center"/>
    </xf>
    <xf numFmtId="0" fontId="14" fillId="4" borderId="35" xfId="2" applyFont="1" applyFill="1" applyBorder="1" applyAlignment="1">
      <alignment horizontal="center" vertical="center"/>
    </xf>
    <xf numFmtId="0" fontId="14" fillId="4" borderId="21" xfId="2" applyFont="1" applyFill="1" applyBorder="1" applyAlignment="1">
      <alignment horizontal="center" vertical="center"/>
    </xf>
    <xf numFmtId="0" fontId="14" fillId="4" borderId="28" xfId="2" applyFont="1" applyFill="1" applyBorder="1" applyAlignment="1">
      <alignment horizontal="center" vertical="center"/>
    </xf>
    <xf numFmtId="0" fontId="14" fillId="4" borderId="19" xfId="2" applyFont="1" applyFill="1" applyBorder="1" applyAlignment="1">
      <alignment horizontal="center" vertical="center"/>
    </xf>
    <xf numFmtId="0" fontId="14" fillId="4" borderId="22" xfId="2" applyFont="1" applyFill="1" applyBorder="1" applyAlignment="1">
      <alignment horizontal="center" vertical="center"/>
    </xf>
    <xf numFmtId="0" fontId="14" fillId="4" borderId="61" xfId="2" applyFont="1" applyFill="1" applyBorder="1" applyAlignment="1">
      <alignment horizontal="center" vertical="center"/>
    </xf>
    <xf numFmtId="0" fontId="14" fillId="4" borderId="46" xfId="2" applyFont="1" applyFill="1" applyBorder="1" applyAlignment="1">
      <alignment horizontal="center" vertical="center"/>
    </xf>
    <xf numFmtId="0" fontId="14" fillId="4" borderId="54" xfId="2" applyFont="1" applyFill="1" applyBorder="1" applyAlignment="1">
      <alignment horizontal="center" vertical="center"/>
    </xf>
    <xf numFmtId="0" fontId="6" fillId="4" borderId="25" xfId="1" applyFont="1" applyFill="1" applyBorder="1" applyAlignment="1">
      <alignment horizontal="center" vertical="center" wrapText="1"/>
    </xf>
    <xf numFmtId="0" fontId="6" fillId="4" borderId="19" xfId="1" applyFont="1" applyFill="1" applyBorder="1" applyAlignment="1">
      <alignment horizontal="center" vertical="center" wrapText="1"/>
    </xf>
    <xf numFmtId="0" fontId="6" fillId="4" borderId="26" xfId="1" applyFont="1" applyFill="1" applyBorder="1" applyAlignment="1">
      <alignment horizontal="center" vertical="center" wrapText="1"/>
    </xf>
    <xf numFmtId="0" fontId="11" fillId="5" borderId="7" xfId="1" applyFont="1" applyFill="1" applyBorder="1" applyAlignment="1">
      <alignment horizontal="center" vertical="center"/>
    </xf>
    <xf numFmtId="0" fontId="11" fillId="5" borderId="8" xfId="1" applyFont="1" applyFill="1" applyBorder="1" applyAlignment="1">
      <alignment horizontal="center" vertical="center"/>
    </xf>
    <xf numFmtId="177" fontId="11" fillId="5" borderId="9" xfId="1" applyNumberFormat="1" applyFont="1" applyFill="1" applyBorder="1" applyAlignment="1">
      <alignment horizontal="center" vertical="center"/>
    </xf>
    <xf numFmtId="177" fontId="11" fillId="5" borderId="10" xfId="1" applyNumberFormat="1" applyFont="1" applyFill="1" applyBorder="1" applyAlignment="1">
      <alignment horizontal="center" vertical="center"/>
    </xf>
    <xf numFmtId="177" fontId="11" fillId="5" borderId="7" xfId="1" applyNumberFormat="1" applyFont="1" applyFill="1" applyBorder="1" applyAlignment="1">
      <alignment horizontal="center" vertical="center"/>
    </xf>
    <xf numFmtId="177" fontId="11" fillId="5" borderId="18" xfId="1" applyNumberFormat="1" applyFont="1" applyFill="1" applyBorder="1" applyAlignment="1">
      <alignment horizontal="center" vertical="center"/>
    </xf>
    <xf numFmtId="177" fontId="11" fillId="5" borderId="22" xfId="1" applyNumberFormat="1" applyFont="1" applyFill="1" applyBorder="1" applyAlignment="1">
      <alignment horizontal="center" vertical="center"/>
    </xf>
    <xf numFmtId="177" fontId="11" fillId="5" borderId="19" xfId="1" applyNumberFormat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11" fillId="4" borderId="3" xfId="1" applyFont="1" applyFill="1" applyBorder="1" applyAlignment="1">
      <alignment horizontal="center" vertical="center"/>
    </xf>
    <xf numFmtId="0" fontId="11" fillId="4" borderId="4" xfId="1" applyFont="1" applyFill="1" applyBorder="1" applyAlignment="1">
      <alignment horizontal="center" vertical="center"/>
    </xf>
    <xf numFmtId="0" fontId="11" fillId="4" borderId="5" xfId="1" applyFont="1" applyFill="1" applyBorder="1" applyAlignment="1">
      <alignment horizontal="center" vertical="center" wrapText="1"/>
    </xf>
    <xf numFmtId="0" fontId="11" fillId="4" borderId="6" xfId="1" applyFont="1" applyFill="1" applyBorder="1" applyAlignment="1">
      <alignment horizontal="center" vertical="center" wrapText="1"/>
    </xf>
    <xf numFmtId="0" fontId="11" fillId="4" borderId="6" xfId="1" applyFont="1" applyFill="1" applyBorder="1" applyAlignment="1">
      <alignment horizontal="center" vertical="center"/>
    </xf>
    <xf numFmtId="0" fontId="11" fillId="4" borderId="3" xfId="1" applyFont="1" applyFill="1" applyBorder="1" applyAlignment="1">
      <alignment horizontal="center" vertical="center" wrapText="1"/>
    </xf>
    <xf numFmtId="0" fontId="11" fillId="4" borderId="5" xfId="1" applyFont="1" applyFill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177" fontId="11" fillId="0" borderId="9" xfId="1" applyNumberFormat="1" applyFont="1" applyBorder="1" applyAlignment="1">
      <alignment horizontal="center" vertical="center"/>
    </xf>
    <xf numFmtId="177" fontId="11" fillId="0" borderId="10" xfId="1" applyNumberFormat="1" applyFont="1" applyBorder="1" applyAlignment="1">
      <alignment horizontal="center" vertical="center"/>
    </xf>
    <xf numFmtId="177" fontId="11" fillId="0" borderId="7" xfId="1" applyNumberFormat="1" applyFont="1" applyBorder="1" applyAlignment="1">
      <alignment horizontal="center" vertical="center"/>
    </xf>
    <xf numFmtId="177" fontId="11" fillId="0" borderId="18" xfId="1" applyNumberFormat="1" applyFont="1" applyBorder="1" applyAlignment="1">
      <alignment horizontal="center" vertical="center"/>
    </xf>
    <xf numFmtId="177" fontId="11" fillId="0" borderId="22" xfId="1" applyNumberFormat="1" applyFont="1" applyBorder="1" applyAlignment="1">
      <alignment horizontal="center" vertical="center"/>
    </xf>
    <xf numFmtId="177" fontId="11" fillId="0" borderId="11" xfId="1" applyNumberFormat="1" applyFont="1" applyBorder="1" applyAlignment="1">
      <alignment horizontal="left" vertical="center" wrapText="1"/>
    </xf>
    <xf numFmtId="177" fontId="11" fillId="0" borderId="12" xfId="1" applyNumberFormat="1" applyFont="1" applyBorder="1" applyAlignment="1">
      <alignment horizontal="left" vertical="center" wrapText="1"/>
    </xf>
    <xf numFmtId="177" fontId="11" fillId="0" borderId="15" xfId="1" applyNumberFormat="1" applyFont="1" applyBorder="1" applyAlignment="1">
      <alignment horizontal="left" vertical="center" wrapText="1"/>
    </xf>
    <xf numFmtId="177" fontId="11" fillId="0" borderId="0" xfId="1" applyNumberFormat="1" applyFont="1" applyAlignment="1">
      <alignment horizontal="left" vertical="center" wrapText="1"/>
    </xf>
    <xf numFmtId="177" fontId="11" fillId="0" borderId="16" xfId="1" applyNumberFormat="1" applyFont="1" applyBorder="1" applyAlignment="1">
      <alignment horizontal="left" vertical="center" wrapText="1"/>
    </xf>
    <xf numFmtId="177" fontId="11" fillId="0" borderId="17" xfId="1" applyNumberFormat="1" applyFont="1" applyBorder="1" applyAlignment="1">
      <alignment horizontal="left" vertical="center" wrapText="1"/>
    </xf>
    <xf numFmtId="0" fontId="11" fillId="0" borderId="13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177" fontId="11" fillId="0" borderId="1" xfId="1" applyNumberFormat="1" applyFont="1" applyBorder="1" applyAlignment="1">
      <alignment horizontal="center" vertical="center"/>
    </xf>
    <xf numFmtId="177" fontId="11" fillId="0" borderId="2" xfId="1" applyNumberFormat="1" applyFont="1" applyBorder="1" applyAlignment="1">
      <alignment horizontal="center" vertical="center"/>
    </xf>
    <xf numFmtId="177" fontId="11" fillId="0" borderId="13" xfId="1" applyNumberFormat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177" fontId="11" fillId="0" borderId="6" xfId="1" applyNumberFormat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4" borderId="13" xfId="1" applyFont="1" applyFill="1" applyBorder="1" applyAlignment="1">
      <alignment horizontal="center" vertical="center"/>
    </xf>
    <xf numFmtId="0" fontId="14" fillId="4" borderId="44" xfId="2" applyFont="1" applyFill="1" applyBorder="1" applyAlignment="1">
      <alignment horizontal="center" vertical="center"/>
    </xf>
    <xf numFmtId="0" fontId="16" fillId="7" borderId="58" xfId="1" quotePrefix="1" applyFont="1" applyFill="1" applyBorder="1" applyAlignment="1">
      <alignment horizontal="center" vertical="center"/>
    </xf>
    <xf numFmtId="0" fontId="16" fillId="7" borderId="59" xfId="1" quotePrefix="1" applyFont="1" applyFill="1" applyBorder="1" applyAlignment="1">
      <alignment horizontal="center" vertical="center"/>
    </xf>
    <xf numFmtId="0" fontId="6" fillId="5" borderId="62" xfId="1" quotePrefix="1" applyFont="1" applyFill="1" applyBorder="1" applyAlignment="1">
      <alignment horizontal="center" vertical="center"/>
    </xf>
    <xf numFmtId="0" fontId="6" fillId="5" borderId="17" xfId="1" quotePrefix="1" applyFont="1" applyFill="1" applyBorder="1" applyAlignment="1">
      <alignment horizontal="center" vertical="center"/>
    </xf>
    <xf numFmtId="0" fontId="6" fillId="5" borderId="35" xfId="1" quotePrefix="1" applyFont="1" applyFill="1" applyBorder="1" applyAlignment="1">
      <alignment horizontal="center" vertical="center"/>
    </xf>
    <xf numFmtId="0" fontId="6" fillId="5" borderId="57" xfId="1" quotePrefix="1" applyFont="1" applyFill="1" applyBorder="1" applyAlignment="1">
      <alignment horizontal="center" vertical="center"/>
    </xf>
    <xf numFmtId="0" fontId="6" fillId="5" borderId="58" xfId="1" quotePrefix="1" applyFont="1" applyFill="1" applyBorder="1" applyAlignment="1">
      <alignment horizontal="center" vertical="center"/>
    </xf>
    <xf numFmtId="0" fontId="6" fillId="5" borderId="59" xfId="1" quotePrefix="1" applyFont="1" applyFill="1" applyBorder="1" applyAlignment="1">
      <alignment horizontal="center" vertical="center"/>
    </xf>
    <xf numFmtId="0" fontId="16" fillId="7" borderId="57" xfId="1" quotePrefix="1" applyFont="1" applyFill="1" applyBorder="1" applyAlignment="1">
      <alignment horizontal="center" vertical="center"/>
    </xf>
    <xf numFmtId="176" fontId="4" fillId="4" borderId="12" xfId="1" applyNumberFormat="1" applyFill="1" applyBorder="1" applyAlignment="1">
      <alignment horizontal="center" vertical="center" wrapText="1"/>
    </xf>
    <xf numFmtId="176" fontId="4" fillId="4" borderId="0" xfId="1" applyNumberFormat="1" applyFill="1" applyAlignment="1">
      <alignment horizontal="center" vertical="center"/>
    </xf>
    <xf numFmtId="176" fontId="4" fillId="4" borderId="17" xfId="1" applyNumberFormat="1" applyFill="1" applyBorder="1" applyAlignment="1">
      <alignment horizontal="center" vertical="center"/>
    </xf>
    <xf numFmtId="0" fontId="14" fillId="4" borderId="33" xfId="2" applyFont="1" applyFill="1" applyBorder="1" applyAlignment="1">
      <alignment horizontal="center" vertical="center"/>
    </xf>
    <xf numFmtId="0" fontId="14" fillId="4" borderId="13" xfId="2" applyFont="1" applyFill="1" applyBorder="1" applyAlignment="1">
      <alignment horizontal="center" vertical="center"/>
    </xf>
    <xf numFmtId="0" fontId="6" fillId="4" borderId="33" xfId="1" applyFont="1" applyFill="1" applyBorder="1" applyAlignment="1">
      <alignment horizontal="center" vertical="center"/>
    </xf>
    <xf numFmtId="177" fontId="11" fillId="0" borderId="12" xfId="1" applyNumberFormat="1" applyFont="1" applyBorder="1" applyAlignment="1">
      <alignment horizontal="left" vertical="center"/>
    </xf>
    <xf numFmtId="177" fontId="11" fillId="0" borderId="15" xfId="1" applyNumberFormat="1" applyFont="1" applyBorder="1" applyAlignment="1">
      <alignment horizontal="left" vertical="center"/>
    </xf>
    <xf numFmtId="177" fontId="11" fillId="0" borderId="0" xfId="1" applyNumberFormat="1" applyFont="1" applyAlignment="1">
      <alignment horizontal="left" vertical="center"/>
    </xf>
    <xf numFmtId="177" fontId="11" fillId="0" borderId="16" xfId="1" applyNumberFormat="1" applyFont="1" applyBorder="1" applyAlignment="1">
      <alignment horizontal="left" vertical="center"/>
    </xf>
    <xf numFmtId="177" fontId="11" fillId="0" borderId="17" xfId="1" applyNumberFormat="1" applyFont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4" fillId="3" borderId="17" xfId="1" applyFont="1" applyFill="1" applyBorder="1" applyAlignment="1">
      <alignment horizontal="center" vertical="center" wrapText="1"/>
    </xf>
    <xf numFmtId="176" fontId="14" fillId="3" borderId="45" xfId="1" applyNumberFormat="1" applyFont="1" applyFill="1" applyBorder="1" applyAlignment="1">
      <alignment horizontal="center" vertical="center" wrapText="1"/>
    </xf>
    <xf numFmtId="176" fontId="14" fillId="3" borderId="0" xfId="1" applyNumberFormat="1" applyFont="1" applyFill="1" applyAlignment="1">
      <alignment horizontal="center" vertical="center"/>
    </xf>
    <xf numFmtId="176" fontId="14" fillId="3" borderId="10" xfId="1" applyNumberFormat="1" applyFont="1" applyFill="1" applyBorder="1" applyAlignment="1">
      <alignment horizontal="center" vertical="center"/>
    </xf>
    <xf numFmtId="176" fontId="14" fillId="3" borderId="45" xfId="1" applyNumberFormat="1" applyFont="1" applyFill="1" applyBorder="1" applyAlignment="1">
      <alignment horizontal="center" vertical="center"/>
    </xf>
    <xf numFmtId="176" fontId="14" fillId="3" borderId="0" xfId="1" applyNumberFormat="1" applyFont="1" applyFill="1" applyAlignment="1">
      <alignment horizontal="center" vertical="center" wrapText="1"/>
    </xf>
    <xf numFmtId="176" fontId="14" fillId="3" borderId="17" xfId="1" applyNumberFormat="1" applyFont="1" applyFill="1" applyBorder="1" applyAlignment="1">
      <alignment horizontal="center" vertical="center"/>
    </xf>
    <xf numFmtId="176" fontId="14" fillId="3" borderId="12" xfId="1" applyNumberFormat="1" applyFont="1" applyFill="1" applyBorder="1" applyAlignment="1">
      <alignment horizontal="center" vertical="center"/>
    </xf>
    <xf numFmtId="0" fontId="16" fillId="5" borderId="57" xfId="1" quotePrefix="1" applyFont="1" applyFill="1" applyBorder="1" applyAlignment="1">
      <alignment horizontal="center" vertical="center"/>
    </xf>
    <xf numFmtId="0" fontId="16" fillId="5" borderId="58" xfId="1" quotePrefix="1" applyFont="1" applyFill="1" applyBorder="1" applyAlignment="1">
      <alignment horizontal="center" vertical="center"/>
    </xf>
    <xf numFmtId="0" fontId="16" fillId="5" borderId="59" xfId="1" quotePrefix="1" applyFont="1" applyFill="1" applyBorder="1" applyAlignment="1">
      <alignment horizontal="center" vertical="center"/>
    </xf>
    <xf numFmtId="177" fontId="11" fillId="0" borderId="11" xfId="1" applyNumberFormat="1" applyFont="1" applyBorder="1" applyAlignment="1">
      <alignment horizontal="center" vertical="center" wrapText="1"/>
    </xf>
    <xf numFmtId="177" fontId="11" fillId="0" borderId="12" xfId="1" applyNumberFormat="1" applyFont="1" applyBorder="1" applyAlignment="1">
      <alignment horizontal="center" vertical="center" wrapText="1"/>
    </xf>
    <xf numFmtId="177" fontId="11" fillId="0" borderId="15" xfId="1" applyNumberFormat="1" applyFont="1" applyBorder="1" applyAlignment="1">
      <alignment horizontal="center" vertical="center" wrapText="1"/>
    </xf>
    <xf numFmtId="177" fontId="11" fillId="0" borderId="0" xfId="1" applyNumberFormat="1" applyFont="1" applyAlignment="1">
      <alignment horizontal="center" vertical="center" wrapText="1"/>
    </xf>
    <xf numFmtId="177" fontId="11" fillId="0" borderId="16" xfId="1" applyNumberFormat="1" applyFont="1" applyBorder="1" applyAlignment="1">
      <alignment horizontal="center" vertical="center" wrapText="1"/>
    </xf>
    <xf numFmtId="177" fontId="11" fillId="0" borderId="17" xfId="1" applyNumberFormat="1" applyFont="1" applyBorder="1" applyAlignment="1">
      <alignment horizontal="center" vertical="center" wrapText="1"/>
    </xf>
    <xf numFmtId="176" fontId="17" fillId="5" borderId="45" xfId="1" applyNumberFormat="1" applyFont="1" applyFill="1" applyBorder="1" applyAlignment="1">
      <alignment horizontal="left" vertical="center" wrapText="1" shrinkToFit="1"/>
    </xf>
    <xf numFmtId="176" fontId="17" fillId="5" borderId="0" xfId="1" applyNumberFormat="1" applyFont="1" applyFill="1" applyAlignment="1">
      <alignment horizontal="left" vertical="center" shrinkToFit="1"/>
    </xf>
    <xf numFmtId="176" fontId="17" fillId="5" borderId="10" xfId="1" applyNumberFormat="1" applyFont="1" applyFill="1" applyBorder="1" applyAlignment="1">
      <alignment horizontal="left" vertical="center" shrinkToFit="1"/>
    </xf>
    <xf numFmtId="176" fontId="14" fillId="7" borderId="45" xfId="1" applyNumberFormat="1" applyFont="1" applyFill="1" applyBorder="1" applyAlignment="1">
      <alignment horizontal="center" vertical="center"/>
    </xf>
    <xf numFmtId="176" fontId="14" fillId="7" borderId="0" xfId="1" applyNumberFormat="1" applyFont="1" applyFill="1" applyAlignment="1">
      <alignment horizontal="center" vertical="center"/>
    </xf>
    <xf numFmtId="176" fontId="14" fillId="7" borderId="10" xfId="1" applyNumberFormat="1" applyFont="1" applyFill="1" applyBorder="1" applyAlignment="1">
      <alignment horizontal="center" vertical="center"/>
    </xf>
    <xf numFmtId="176" fontId="14" fillId="9" borderId="45" xfId="1" applyNumberFormat="1" applyFont="1" applyFill="1" applyBorder="1" applyAlignment="1">
      <alignment horizontal="center" vertical="center"/>
    </xf>
    <xf numFmtId="176" fontId="14" fillId="9" borderId="0" xfId="1" applyNumberFormat="1" applyFont="1" applyFill="1" applyAlignment="1">
      <alignment horizontal="center" vertical="center"/>
    </xf>
    <xf numFmtId="176" fontId="14" fillId="9" borderId="10" xfId="1" applyNumberFormat="1" applyFont="1" applyFill="1" applyBorder="1" applyAlignment="1">
      <alignment horizontal="center" vertical="center"/>
    </xf>
    <xf numFmtId="176" fontId="14" fillId="7" borderId="17" xfId="1" applyNumberFormat="1" applyFont="1" applyFill="1" applyBorder="1" applyAlignment="1">
      <alignment horizontal="center" vertical="center"/>
    </xf>
    <xf numFmtId="176" fontId="14" fillId="7" borderId="12" xfId="1" applyNumberFormat="1" applyFont="1" applyFill="1" applyBorder="1" applyAlignment="1">
      <alignment horizontal="center" vertical="center"/>
    </xf>
    <xf numFmtId="176" fontId="17" fillId="7" borderId="45" xfId="1" applyNumberFormat="1" applyFont="1" applyFill="1" applyBorder="1" applyAlignment="1">
      <alignment horizontal="center" vertical="center" wrapText="1"/>
    </xf>
    <xf numFmtId="176" fontId="17" fillId="7" borderId="0" xfId="1" applyNumberFormat="1" applyFont="1" applyFill="1" applyAlignment="1">
      <alignment horizontal="center" vertical="center"/>
    </xf>
    <xf numFmtId="176" fontId="17" fillId="7" borderId="10" xfId="1" applyNumberFormat="1" applyFont="1" applyFill="1" applyBorder="1" applyAlignment="1">
      <alignment horizontal="center" vertical="center"/>
    </xf>
    <xf numFmtId="176" fontId="17" fillId="7" borderId="17" xfId="1" applyNumberFormat="1" applyFont="1" applyFill="1" applyBorder="1" applyAlignment="1">
      <alignment horizontal="center" vertical="center"/>
    </xf>
    <xf numFmtId="0" fontId="14" fillId="4" borderId="23" xfId="2" applyFont="1" applyFill="1" applyBorder="1" applyAlignment="1">
      <alignment horizontal="center" vertical="center" wrapText="1"/>
    </xf>
    <xf numFmtId="0" fontId="14" fillId="4" borderId="31" xfId="2" applyFont="1" applyFill="1" applyBorder="1" applyAlignment="1">
      <alignment horizontal="center" vertical="center"/>
    </xf>
    <xf numFmtId="0" fontId="14" fillId="4" borderId="38" xfId="2" applyFont="1" applyFill="1" applyBorder="1" applyAlignment="1">
      <alignment horizontal="center" vertical="center"/>
    </xf>
    <xf numFmtId="0" fontId="15" fillId="4" borderId="24" xfId="2" applyFont="1" applyFill="1" applyBorder="1" applyAlignment="1">
      <alignment horizontal="center" vertical="center" wrapText="1"/>
    </xf>
    <xf numFmtId="0" fontId="15" fillId="4" borderId="32" xfId="2" applyFont="1" applyFill="1" applyBorder="1" applyAlignment="1">
      <alignment horizontal="center" vertical="center" wrapText="1"/>
    </xf>
    <xf numFmtId="0" fontId="15" fillId="4" borderId="39" xfId="2" applyFont="1" applyFill="1" applyBorder="1" applyAlignment="1">
      <alignment horizontal="center" vertical="center" wrapText="1"/>
    </xf>
    <xf numFmtId="0" fontId="14" fillId="4" borderId="37" xfId="2" applyFont="1" applyFill="1" applyBorder="1" applyAlignment="1">
      <alignment horizontal="center" vertical="center"/>
    </xf>
    <xf numFmtId="176" fontId="4" fillId="3" borderId="45" xfId="1" applyNumberFormat="1" applyFill="1" applyBorder="1" applyAlignment="1">
      <alignment horizontal="center" vertical="center"/>
    </xf>
    <xf numFmtId="176" fontId="4" fillId="3" borderId="0" xfId="1" applyNumberFormat="1" applyFill="1" applyAlignment="1">
      <alignment horizontal="center" vertical="center"/>
    </xf>
    <xf numFmtId="176" fontId="4" fillId="3" borderId="10" xfId="1" applyNumberFormat="1" applyFill="1" applyBorder="1" applyAlignment="1">
      <alignment horizontal="center" vertical="center"/>
    </xf>
    <xf numFmtId="176" fontId="4" fillId="3" borderId="17" xfId="1" applyNumberFormat="1" applyFill="1" applyBorder="1" applyAlignment="1">
      <alignment horizontal="center" vertical="center"/>
    </xf>
    <xf numFmtId="176" fontId="17" fillId="3" borderId="45" xfId="1" applyNumberFormat="1" applyFont="1" applyFill="1" applyBorder="1" applyAlignment="1">
      <alignment horizontal="center" vertical="center" wrapText="1"/>
    </xf>
    <xf numFmtId="176" fontId="17" fillId="3" borderId="0" xfId="1" applyNumberFormat="1" applyFont="1" applyFill="1" applyAlignment="1">
      <alignment horizontal="center" vertical="center"/>
    </xf>
    <xf numFmtId="176" fontId="17" fillId="3" borderId="10" xfId="1" applyNumberFormat="1" applyFont="1" applyFill="1" applyBorder="1" applyAlignment="1">
      <alignment horizontal="center" vertical="center"/>
    </xf>
    <xf numFmtId="176" fontId="17" fillId="3" borderId="45" xfId="1" applyNumberFormat="1" applyFont="1" applyFill="1" applyBorder="1" applyAlignment="1">
      <alignment horizontal="center" vertical="center"/>
    </xf>
    <xf numFmtId="176" fontId="17" fillId="3" borderId="17" xfId="1" applyNumberFormat="1" applyFont="1" applyFill="1" applyBorder="1" applyAlignment="1">
      <alignment horizontal="center" vertical="center"/>
    </xf>
  </cellXfs>
  <cellStyles count="3">
    <cellStyle name="표준" xfId="0" builtinId="0"/>
    <cellStyle name="표준 4" xfId="1" xr:uid="{A117120F-7678-49D5-9BC3-EDAEA75E7612}"/>
    <cellStyle name="표준_군10-5차 교육운영비" xfId="2" xr:uid="{191D9BDB-3A24-4505-B36C-CBC2CB071098}"/>
  </cellStyles>
  <dxfs count="0"/>
  <tableStyles count="0" defaultTableStyle="TableStyleMedium2" defaultPivotStyle="PivotStyleLight16"/>
  <colors>
    <mruColors>
      <color rgb="FFFFFFCC"/>
      <color rgb="FF0000FF"/>
      <color rgb="FFDDD9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67D21-069F-4951-B390-ACED33CEA1DF}">
  <sheetPr>
    <pageSetUpPr fitToPage="1"/>
  </sheetPr>
  <dimension ref="A1:U70"/>
  <sheetViews>
    <sheetView showGridLines="0" tabSelected="1" topLeftCell="E1" workbookViewId="0">
      <selection activeCell="I39" sqref="I39"/>
    </sheetView>
  </sheetViews>
  <sheetFormatPr defaultColWidth="9" defaultRowHeight="16.5" x14ac:dyDescent="0.3"/>
  <cols>
    <col min="1" max="1" width="10.5" style="5" customWidth="1"/>
    <col min="2" max="2" width="13" style="5" customWidth="1"/>
    <col min="3" max="6" width="6.375" style="5" customWidth="1"/>
    <col min="7" max="7" width="13.125" style="5" customWidth="1"/>
    <col min="8" max="12" width="11.625" style="5" customWidth="1"/>
    <col min="13" max="13" width="10.125" style="5" customWidth="1"/>
    <col min="14" max="14" width="18" style="100" customWidth="1"/>
    <col min="15" max="15" width="5.625" style="5" customWidth="1"/>
    <col min="16" max="16" width="15.625" style="5" hidden="1" customWidth="1"/>
    <col min="17" max="18" width="11.75" style="5" hidden="1" customWidth="1"/>
    <col min="19" max="24" width="8.75" style="5" customWidth="1"/>
    <col min="25" max="16384" width="9" style="5"/>
  </cols>
  <sheetData>
    <row r="1" spans="1:19" ht="20.25" x14ac:dyDescent="0.3">
      <c r="A1" s="254" t="s">
        <v>177</v>
      </c>
    </row>
    <row r="2" spans="1:19" s="1" customFormat="1" ht="39" customHeight="1" x14ac:dyDescent="0.3">
      <c r="A2" s="417" t="s">
        <v>207</v>
      </c>
      <c r="B2" s="417"/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</row>
    <row r="3" spans="1:19" ht="22.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4">
        <v>46151</v>
      </c>
    </row>
    <row r="4" spans="1:19" ht="24" customHeight="1" x14ac:dyDescent="0.3">
      <c r="A4" s="418" t="s">
        <v>0</v>
      </c>
      <c r="B4" s="419"/>
      <c r="C4" s="2"/>
      <c r="D4" s="2"/>
      <c r="E4" s="2"/>
      <c r="F4" s="2"/>
      <c r="G4" s="2"/>
      <c r="H4" s="6"/>
      <c r="I4" s="6"/>
      <c r="J4" s="6"/>
      <c r="K4" s="6"/>
      <c r="L4" s="6"/>
      <c r="M4" s="6"/>
      <c r="N4" s="7"/>
    </row>
    <row r="5" spans="1:19" ht="35.25" customHeight="1" thickBot="1" x14ac:dyDescent="0.35">
      <c r="A5" s="420" t="s">
        <v>1</v>
      </c>
      <c r="B5" s="421"/>
      <c r="C5" s="422" t="s">
        <v>186</v>
      </c>
      <c r="D5" s="423"/>
      <c r="E5" s="424"/>
      <c r="F5" s="420"/>
      <c r="G5" s="422" t="s">
        <v>95</v>
      </c>
      <c r="H5" s="425"/>
      <c r="I5" s="426" t="s">
        <v>5</v>
      </c>
      <c r="J5" s="424"/>
      <c r="K5" s="424"/>
      <c r="L5" s="424"/>
      <c r="M5" s="424"/>
      <c r="N5" s="424"/>
    </row>
    <row r="6" spans="1:19" ht="24" customHeight="1" x14ac:dyDescent="0.3">
      <c r="A6" s="427" t="s">
        <v>9</v>
      </c>
      <c r="B6" s="428"/>
      <c r="C6" s="429">
        <f>F37</f>
        <v>99</v>
      </c>
      <c r="D6" s="430"/>
      <c r="E6" s="430"/>
      <c r="F6" s="431"/>
      <c r="G6" s="432"/>
      <c r="H6" s="433"/>
      <c r="I6" s="434" t="s">
        <v>205</v>
      </c>
      <c r="J6" s="435"/>
      <c r="K6" s="435"/>
      <c r="L6" s="435"/>
      <c r="M6" s="435"/>
      <c r="N6" s="435"/>
    </row>
    <row r="7" spans="1:19" ht="24" customHeight="1" x14ac:dyDescent="0.3">
      <c r="A7" s="440" t="s">
        <v>73</v>
      </c>
      <c r="B7" s="441"/>
      <c r="C7" s="442">
        <f>SUM(F38:F61)</f>
        <v>152</v>
      </c>
      <c r="D7" s="443"/>
      <c r="E7" s="443"/>
      <c r="F7" s="444"/>
      <c r="G7" s="442"/>
      <c r="H7" s="444"/>
      <c r="I7" s="436"/>
      <c r="J7" s="437"/>
      <c r="K7" s="437"/>
      <c r="L7" s="437"/>
      <c r="M7" s="437"/>
      <c r="N7" s="437"/>
    </row>
    <row r="8" spans="1:19" ht="24" customHeight="1" thickBot="1" x14ac:dyDescent="0.35">
      <c r="A8" s="445" t="s">
        <v>127</v>
      </c>
      <c r="B8" s="446"/>
      <c r="C8" s="392"/>
      <c r="D8" s="447"/>
      <c r="E8" s="447"/>
      <c r="F8" s="393"/>
      <c r="G8" s="392">
        <f>SUM(F53:F64)</f>
        <v>76</v>
      </c>
      <c r="H8" s="393"/>
      <c r="I8" s="438"/>
      <c r="J8" s="439"/>
      <c r="K8" s="439"/>
      <c r="L8" s="439"/>
      <c r="M8" s="439"/>
      <c r="N8" s="439"/>
    </row>
    <row r="9" spans="1:19" ht="24" customHeight="1" x14ac:dyDescent="0.3">
      <c r="A9" s="407" t="s">
        <v>10</v>
      </c>
      <c r="B9" s="408"/>
      <c r="C9" s="409">
        <f>SUM(C6:F8)</f>
        <v>251</v>
      </c>
      <c r="D9" s="410"/>
      <c r="E9" s="410"/>
      <c r="F9" s="411"/>
      <c r="G9" s="412">
        <f>G8</f>
        <v>76</v>
      </c>
      <c r="H9" s="413"/>
      <c r="I9" s="412"/>
      <c r="J9" s="414"/>
      <c r="K9" s="414"/>
      <c r="L9" s="414"/>
      <c r="M9" s="414"/>
      <c r="N9" s="414"/>
    </row>
    <row r="10" spans="1:19" ht="12" customHeight="1" x14ac:dyDescent="0.3">
      <c r="A10" s="8"/>
      <c r="B10" s="8"/>
      <c r="C10" s="8"/>
      <c r="D10" s="8"/>
      <c r="E10" s="125"/>
      <c r="F10" s="8"/>
      <c r="G10" s="8"/>
      <c r="H10" s="125"/>
      <c r="I10" s="8"/>
      <c r="J10" s="8"/>
      <c r="K10" s="8"/>
      <c r="L10" s="8"/>
      <c r="M10" s="8"/>
      <c r="N10" s="8"/>
      <c r="S10" s="39"/>
    </row>
    <row r="11" spans="1:19" ht="29.25" customHeight="1" thickBot="1" x14ac:dyDescent="0.35">
      <c r="A11" s="415" t="s">
        <v>11</v>
      </c>
      <c r="B11" s="416"/>
      <c r="C11" s="8"/>
      <c r="D11" s="8"/>
      <c r="E11" s="286">
        <f>F37</f>
        <v>99</v>
      </c>
      <c r="F11" s="286">
        <f>SUM(F38:F52)</f>
        <v>94</v>
      </c>
      <c r="G11" s="287" t="s">
        <v>206</v>
      </c>
      <c r="H11" s="284">
        <f>E11+F11</f>
        <v>193</v>
      </c>
      <c r="I11" s="195"/>
      <c r="J11" s="195"/>
      <c r="K11" s="195"/>
      <c r="L11" s="195"/>
      <c r="M11" s="195"/>
      <c r="N11" s="195"/>
    </row>
    <row r="12" spans="1:19" ht="27.75" customHeight="1" x14ac:dyDescent="0.3">
      <c r="A12" s="394" t="s">
        <v>12</v>
      </c>
      <c r="B12" s="397" t="s">
        <v>13</v>
      </c>
      <c r="C12" s="399" t="s">
        <v>14</v>
      </c>
      <c r="D12" s="399"/>
      <c r="E12" s="400"/>
      <c r="F12" s="401" t="s">
        <v>15</v>
      </c>
      <c r="G12" s="404" t="s">
        <v>18</v>
      </c>
      <c r="H12" s="405"/>
      <c r="I12" s="405"/>
      <c r="J12" s="405"/>
      <c r="K12" s="405"/>
      <c r="L12" s="405"/>
      <c r="M12" s="406"/>
      <c r="N12" s="368" t="s">
        <v>162</v>
      </c>
    </row>
    <row r="13" spans="1:19" ht="22.5" customHeight="1" x14ac:dyDescent="0.3">
      <c r="A13" s="395"/>
      <c r="B13" s="398"/>
      <c r="C13" s="371" t="s">
        <v>96</v>
      </c>
      <c r="D13" s="372"/>
      <c r="E13" s="375" t="s">
        <v>139</v>
      </c>
      <c r="F13" s="402"/>
      <c r="G13" s="377" t="s">
        <v>197</v>
      </c>
      <c r="H13" s="378"/>
      <c r="I13" s="378"/>
      <c r="J13" s="378"/>
      <c r="K13" s="378"/>
      <c r="L13" s="378"/>
      <c r="M13" s="379"/>
      <c r="N13" s="369"/>
    </row>
    <row r="14" spans="1:19" ht="22.5" customHeight="1" x14ac:dyDescent="0.3">
      <c r="A14" s="395"/>
      <c r="B14" s="398"/>
      <c r="C14" s="373"/>
      <c r="D14" s="374"/>
      <c r="E14" s="376"/>
      <c r="F14" s="402"/>
      <c r="G14" s="380" t="s">
        <v>178</v>
      </c>
      <c r="H14" s="326" t="s">
        <v>198</v>
      </c>
      <c r="I14" s="382" t="s">
        <v>179</v>
      </c>
      <c r="J14" s="382"/>
      <c r="K14" s="382"/>
      <c r="L14" s="383"/>
      <c r="M14" s="384" t="s">
        <v>27</v>
      </c>
      <c r="N14" s="369"/>
    </row>
    <row r="15" spans="1:19" ht="34.5" customHeight="1" thickBot="1" x14ac:dyDescent="0.35">
      <c r="A15" s="396"/>
      <c r="B15" s="385"/>
      <c r="C15" s="257" t="s">
        <v>98</v>
      </c>
      <c r="D15" s="104" t="s">
        <v>99</v>
      </c>
      <c r="E15" s="104" t="s">
        <v>98</v>
      </c>
      <c r="F15" s="403"/>
      <c r="G15" s="381"/>
      <c r="H15" s="327" t="s">
        <v>181</v>
      </c>
      <c r="I15" s="315" t="s">
        <v>24</v>
      </c>
      <c r="J15" s="10" t="s">
        <v>25</v>
      </c>
      <c r="K15" s="10" t="s">
        <v>111</v>
      </c>
      <c r="L15" s="12" t="s">
        <v>26</v>
      </c>
      <c r="M15" s="385"/>
      <c r="N15" s="370"/>
    </row>
    <row r="16" spans="1:19" ht="16.5" customHeight="1" x14ac:dyDescent="0.3">
      <c r="A16" s="351" t="s">
        <v>74</v>
      </c>
      <c r="B16" s="196" t="s">
        <v>142</v>
      </c>
      <c r="C16" s="108"/>
      <c r="D16" s="15"/>
      <c r="E16" s="14">
        <v>7</v>
      </c>
      <c r="F16" s="138">
        <f t="shared" ref="F16" si="0">C16+D16+E16</f>
        <v>7</v>
      </c>
      <c r="G16" s="117">
        <v>45929</v>
      </c>
      <c r="H16" s="328"/>
      <c r="I16" s="316">
        <v>45929</v>
      </c>
      <c r="J16" s="37">
        <v>45944</v>
      </c>
      <c r="K16" s="37">
        <v>45978</v>
      </c>
      <c r="L16" s="306">
        <v>46010</v>
      </c>
      <c r="M16" s="293">
        <f>(L17-I16+1)/7</f>
        <v>14.714285714285714</v>
      </c>
      <c r="N16" s="386" t="s">
        <v>168</v>
      </c>
    </row>
    <row r="17" spans="1:20" ht="16.5" customHeight="1" x14ac:dyDescent="0.3">
      <c r="A17" s="352"/>
      <c r="B17" s="196"/>
      <c r="C17" s="108"/>
      <c r="D17" s="15"/>
      <c r="E17" s="14"/>
      <c r="F17" s="138"/>
      <c r="G17" s="118"/>
      <c r="H17" s="329"/>
      <c r="I17" s="316">
        <v>45932</v>
      </c>
      <c r="J17" s="19">
        <v>45980</v>
      </c>
      <c r="K17" s="19">
        <v>46009</v>
      </c>
      <c r="L17" s="307">
        <v>46031</v>
      </c>
      <c r="M17" s="294"/>
      <c r="N17" s="387"/>
    </row>
    <row r="18" spans="1:20" ht="16.5" customHeight="1" x14ac:dyDescent="0.3">
      <c r="A18" s="352"/>
      <c r="B18" s="198"/>
      <c r="C18" s="109"/>
      <c r="D18" s="29"/>
      <c r="E18" s="28"/>
      <c r="F18" s="139"/>
      <c r="G18" s="119"/>
      <c r="H18" s="330"/>
      <c r="I18" s="317">
        <f t="shared" ref="I18:L18" si="1">(I17-I16+1)/7</f>
        <v>0.5714285714285714</v>
      </c>
      <c r="J18" s="33">
        <f t="shared" si="1"/>
        <v>5.2857142857142856</v>
      </c>
      <c r="K18" s="33">
        <f t="shared" si="1"/>
        <v>4.5714285714285712</v>
      </c>
      <c r="L18" s="35">
        <f t="shared" si="1"/>
        <v>3.1428571428571428</v>
      </c>
      <c r="M18" s="295"/>
      <c r="N18" s="388"/>
    </row>
    <row r="19" spans="1:20" ht="16.5" customHeight="1" x14ac:dyDescent="0.3">
      <c r="A19" s="352"/>
      <c r="B19" s="212" t="s">
        <v>143</v>
      </c>
      <c r="C19" s="110"/>
      <c r="D19" s="43"/>
      <c r="E19" s="42">
        <v>6</v>
      </c>
      <c r="F19" s="138">
        <f>C19+D19+E19</f>
        <v>6</v>
      </c>
      <c r="G19" s="117">
        <v>45971</v>
      </c>
      <c r="H19" s="328"/>
      <c r="I19" s="318">
        <v>45971</v>
      </c>
      <c r="J19" s="37">
        <v>45980</v>
      </c>
      <c r="K19" s="37">
        <v>46020</v>
      </c>
      <c r="L19" s="306">
        <v>46034</v>
      </c>
      <c r="M19" s="293">
        <f>(L20-I19+1)/7</f>
        <v>11.714285714285714</v>
      </c>
      <c r="N19" s="389" t="s">
        <v>147</v>
      </c>
      <c r="P19" s="26"/>
      <c r="S19" s="39"/>
      <c r="T19" s="39"/>
    </row>
    <row r="20" spans="1:20" ht="16.5" customHeight="1" x14ac:dyDescent="0.3">
      <c r="A20" s="352"/>
      <c r="B20" s="213"/>
      <c r="C20" s="108"/>
      <c r="D20" s="15"/>
      <c r="E20" s="14"/>
      <c r="F20" s="138"/>
      <c r="G20" s="118"/>
      <c r="H20" s="329"/>
      <c r="I20" s="316">
        <v>45975</v>
      </c>
      <c r="J20" s="19">
        <v>46017</v>
      </c>
      <c r="K20" s="19">
        <v>46033</v>
      </c>
      <c r="L20" s="307">
        <v>46052</v>
      </c>
      <c r="M20" s="294"/>
      <c r="N20" s="390"/>
      <c r="S20" s="39"/>
    </row>
    <row r="21" spans="1:20" ht="16.5" customHeight="1" x14ac:dyDescent="0.3">
      <c r="A21" s="352"/>
      <c r="B21" s="215"/>
      <c r="C21" s="109"/>
      <c r="D21" s="29"/>
      <c r="E21" s="28"/>
      <c r="F21" s="139"/>
      <c r="G21" s="119"/>
      <c r="H21" s="330"/>
      <c r="I21" s="317">
        <f t="shared" ref="I21:L21" si="2">(I20-I19+1)/7</f>
        <v>0.7142857142857143</v>
      </c>
      <c r="J21" s="33">
        <f t="shared" si="2"/>
        <v>5.4285714285714288</v>
      </c>
      <c r="K21" s="33">
        <f t="shared" si="2"/>
        <v>2</v>
      </c>
      <c r="L21" s="35">
        <f t="shared" si="2"/>
        <v>2.7142857142857144</v>
      </c>
      <c r="M21" s="295"/>
      <c r="N21" s="391"/>
    </row>
    <row r="22" spans="1:20" ht="16.5" customHeight="1" x14ac:dyDescent="0.3">
      <c r="A22" s="352"/>
      <c r="B22" s="212" t="s">
        <v>144</v>
      </c>
      <c r="C22" s="110"/>
      <c r="D22" s="43">
        <v>16</v>
      </c>
      <c r="E22" s="239"/>
      <c r="F22" s="138">
        <f>C22+D22+E22</f>
        <v>16</v>
      </c>
      <c r="G22" s="117">
        <v>45971</v>
      </c>
      <c r="H22" s="328"/>
      <c r="I22" s="318">
        <v>45971</v>
      </c>
      <c r="J22" s="37">
        <v>45980</v>
      </c>
      <c r="K22" s="37">
        <v>46020</v>
      </c>
      <c r="L22" s="306">
        <v>46036</v>
      </c>
      <c r="M22" s="293">
        <f>(L23-I22+1)/7</f>
        <v>15.142857142857142</v>
      </c>
      <c r="N22" s="389" t="s">
        <v>187</v>
      </c>
    </row>
    <row r="23" spans="1:20" ht="16.5" customHeight="1" x14ac:dyDescent="0.3">
      <c r="A23" s="352"/>
      <c r="B23" s="213"/>
      <c r="C23" s="108"/>
      <c r="D23" s="15"/>
      <c r="E23" s="14"/>
      <c r="F23" s="138"/>
      <c r="G23" s="118"/>
      <c r="H23" s="329"/>
      <c r="I23" s="316">
        <v>45975</v>
      </c>
      <c r="J23" s="19">
        <v>46017</v>
      </c>
      <c r="K23" s="19">
        <v>46033</v>
      </c>
      <c r="L23" s="307">
        <v>46076</v>
      </c>
      <c r="M23" s="294"/>
      <c r="N23" s="390"/>
    </row>
    <row r="24" spans="1:20" ht="16.5" customHeight="1" x14ac:dyDescent="0.3">
      <c r="A24" s="352"/>
      <c r="B24" s="215"/>
      <c r="C24" s="109"/>
      <c r="D24" s="29"/>
      <c r="E24" s="28"/>
      <c r="F24" s="139"/>
      <c r="G24" s="119"/>
      <c r="H24" s="330"/>
      <c r="I24" s="317">
        <f t="shared" ref="I24:L24" si="3">(I23-I22+1)/7</f>
        <v>0.7142857142857143</v>
      </c>
      <c r="J24" s="33">
        <f t="shared" si="3"/>
        <v>5.4285714285714288</v>
      </c>
      <c r="K24" s="33">
        <f t="shared" si="3"/>
        <v>2</v>
      </c>
      <c r="L24" s="35">
        <f t="shared" si="3"/>
        <v>5.8571428571428568</v>
      </c>
      <c r="M24" s="295"/>
      <c r="N24" s="391"/>
    </row>
    <row r="25" spans="1:20" ht="16.5" customHeight="1" x14ac:dyDescent="0.3">
      <c r="A25" s="352"/>
      <c r="B25" s="196" t="s">
        <v>85</v>
      </c>
      <c r="C25" s="108">
        <v>9</v>
      </c>
      <c r="D25" s="15">
        <v>7</v>
      </c>
      <c r="E25" s="14">
        <v>3</v>
      </c>
      <c r="F25" s="138">
        <f>C25+D25+E25</f>
        <v>19</v>
      </c>
      <c r="G25" s="117">
        <v>46013</v>
      </c>
      <c r="H25" s="328"/>
      <c r="I25" s="318">
        <v>46014</v>
      </c>
      <c r="J25" s="37">
        <v>46020</v>
      </c>
      <c r="K25" s="37">
        <v>46055</v>
      </c>
      <c r="L25" s="306">
        <v>46085</v>
      </c>
      <c r="M25" s="293">
        <f>(L26-G25+1)/7</f>
        <v>12.857142857142858</v>
      </c>
      <c r="N25" s="389" t="s">
        <v>199</v>
      </c>
    </row>
    <row r="26" spans="1:20" ht="16.5" customHeight="1" x14ac:dyDescent="0.3">
      <c r="A26" s="352"/>
      <c r="B26" s="196"/>
      <c r="C26" s="108"/>
      <c r="D26" s="15"/>
      <c r="E26" s="214"/>
      <c r="F26" s="138"/>
      <c r="G26" s="118"/>
      <c r="H26" s="329"/>
      <c r="I26" s="316">
        <v>46017</v>
      </c>
      <c r="J26" s="19">
        <v>46050</v>
      </c>
      <c r="K26" s="19">
        <v>46082</v>
      </c>
      <c r="L26" s="307">
        <v>46102</v>
      </c>
      <c r="M26" s="294"/>
      <c r="N26" s="390"/>
    </row>
    <row r="27" spans="1:20" ht="16.5" customHeight="1" x14ac:dyDescent="0.3">
      <c r="A27" s="352"/>
      <c r="B27" s="215"/>
      <c r="C27" s="109"/>
      <c r="D27" s="29"/>
      <c r="E27" s="216"/>
      <c r="F27" s="139"/>
      <c r="G27" s="119"/>
      <c r="H27" s="330"/>
      <c r="I27" s="317">
        <f t="shared" ref="I27:L27" si="4">(I26-I25+1)/7</f>
        <v>0.5714285714285714</v>
      </c>
      <c r="J27" s="33">
        <f t="shared" si="4"/>
        <v>4.4285714285714288</v>
      </c>
      <c r="K27" s="33">
        <f t="shared" si="4"/>
        <v>4</v>
      </c>
      <c r="L27" s="35">
        <f t="shared" si="4"/>
        <v>2.5714285714285716</v>
      </c>
      <c r="M27" s="295"/>
      <c r="N27" s="391"/>
    </row>
    <row r="28" spans="1:20" ht="16.5" customHeight="1" x14ac:dyDescent="0.3">
      <c r="A28" s="352"/>
      <c r="B28" s="13" t="s">
        <v>86</v>
      </c>
      <c r="C28" s="108"/>
      <c r="D28" s="15">
        <v>14</v>
      </c>
      <c r="E28" s="197"/>
      <c r="F28" s="138">
        <f t="shared" ref="F28" si="5">C28+D28+E28</f>
        <v>14</v>
      </c>
      <c r="G28" s="117">
        <v>46041</v>
      </c>
      <c r="H28" s="328"/>
      <c r="I28" s="318">
        <v>46041</v>
      </c>
      <c r="J28" s="37">
        <v>46048</v>
      </c>
      <c r="K28" s="37">
        <v>46083</v>
      </c>
      <c r="L28" s="306">
        <v>46102</v>
      </c>
      <c r="M28" s="293">
        <f>(L29-I28+1)/7</f>
        <v>15.857142857142858</v>
      </c>
      <c r="N28" s="389" t="s">
        <v>200</v>
      </c>
      <c r="P28" s="26"/>
    </row>
    <row r="29" spans="1:20" ht="16.5" customHeight="1" x14ac:dyDescent="0.3">
      <c r="A29" s="352"/>
      <c r="B29" s="13"/>
      <c r="C29" s="108"/>
      <c r="D29" s="15"/>
      <c r="E29" s="214"/>
      <c r="F29" s="138"/>
      <c r="G29" s="118"/>
      <c r="H29" s="329"/>
      <c r="I29" s="316">
        <v>46045</v>
      </c>
      <c r="J29" s="19">
        <v>46081</v>
      </c>
      <c r="K29" s="19">
        <v>46096</v>
      </c>
      <c r="L29" s="307">
        <v>46151</v>
      </c>
      <c r="M29" s="294"/>
      <c r="N29" s="390"/>
    </row>
    <row r="30" spans="1:20" ht="16.5" customHeight="1" x14ac:dyDescent="0.3">
      <c r="A30" s="352"/>
      <c r="B30" s="217"/>
      <c r="C30" s="109"/>
      <c r="D30" s="29"/>
      <c r="E30" s="216"/>
      <c r="F30" s="139"/>
      <c r="G30" s="119"/>
      <c r="H30" s="330"/>
      <c r="I30" s="317">
        <f t="shared" ref="I30:L30" si="6">(I29-I28+1)/7</f>
        <v>0.7142857142857143</v>
      </c>
      <c r="J30" s="33">
        <f t="shared" si="6"/>
        <v>4.8571428571428568</v>
      </c>
      <c r="K30" s="33">
        <f t="shared" si="6"/>
        <v>2</v>
      </c>
      <c r="L30" s="35">
        <f t="shared" si="6"/>
        <v>7.1428571428571432</v>
      </c>
      <c r="M30" s="295"/>
      <c r="N30" s="391"/>
    </row>
    <row r="31" spans="1:20" ht="16.5" customHeight="1" x14ac:dyDescent="0.3">
      <c r="A31" s="352"/>
      <c r="B31" s="13" t="s">
        <v>87</v>
      </c>
      <c r="C31" s="108"/>
      <c r="D31" s="15">
        <v>18</v>
      </c>
      <c r="E31" s="14"/>
      <c r="F31" s="138">
        <f t="shared" ref="F31" si="7">C31+D31+E31</f>
        <v>18</v>
      </c>
      <c r="G31" s="82">
        <v>46062</v>
      </c>
      <c r="H31" s="331"/>
      <c r="I31" s="318">
        <v>46062</v>
      </c>
      <c r="J31" s="37">
        <v>46079</v>
      </c>
      <c r="K31" s="37">
        <v>46118</v>
      </c>
      <c r="L31" s="308">
        <v>46151</v>
      </c>
      <c r="M31" s="296">
        <f>(L32-I31+1)/7</f>
        <v>19.428571428571427</v>
      </c>
      <c r="N31" s="357" t="s">
        <v>212</v>
      </c>
    </row>
    <row r="32" spans="1:20" ht="16.5" customHeight="1" x14ac:dyDescent="0.3">
      <c r="A32" s="352"/>
      <c r="B32" s="13"/>
      <c r="C32" s="108"/>
      <c r="D32" s="15"/>
      <c r="E32" s="14"/>
      <c r="F32" s="138"/>
      <c r="G32" s="16"/>
      <c r="H32" s="332"/>
      <c r="I32" s="316">
        <v>46066</v>
      </c>
      <c r="J32" s="19">
        <v>46112</v>
      </c>
      <c r="K32" s="19">
        <v>46145</v>
      </c>
      <c r="L32" s="309">
        <v>46197</v>
      </c>
      <c r="M32" s="297"/>
      <c r="N32" s="355"/>
    </row>
    <row r="33" spans="1:21" ht="16.5" customHeight="1" x14ac:dyDescent="0.3">
      <c r="A33" s="352"/>
      <c r="B33" s="217"/>
      <c r="C33" s="109"/>
      <c r="D33" s="29"/>
      <c r="E33" s="28"/>
      <c r="F33" s="139"/>
      <c r="G33" s="30"/>
      <c r="H33" s="333"/>
      <c r="I33" s="317">
        <f t="shared" ref="I33:L33" si="8">(I32-I31+1)/7</f>
        <v>0.7142857142857143</v>
      </c>
      <c r="J33" s="33">
        <f t="shared" si="8"/>
        <v>4.8571428571428568</v>
      </c>
      <c r="K33" s="33">
        <f t="shared" si="8"/>
        <v>4</v>
      </c>
      <c r="L33" s="206">
        <f t="shared" si="8"/>
        <v>6.7142857142857144</v>
      </c>
      <c r="M33" s="298"/>
      <c r="N33" s="356"/>
    </row>
    <row r="34" spans="1:21" ht="16.5" customHeight="1" x14ac:dyDescent="0.3">
      <c r="A34" s="352"/>
      <c r="B34" s="13" t="s">
        <v>88</v>
      </c>
      <c r="C34" s="108"/>
      <c r="D34" s="15">
        <v>19</v>
      </c>
      <c r="E34" s="14"/>
      <c r="F34" s="138">
        <f t="shared" ref="F34" si="9">C34+D34+E34</f>
        <v>19</v>
      </c>
      <c r="G34" s="82">
        <v>46104</v>
      </c>
      <c r="H34" s="331"/>
      <c r="I34" s="318">
        <v>46104</v>
      </c>
      <c r="J34" s="37">
        <v>46111</v>
      </c>
      <c r="K34" s="209">
        <v>46146</v>
      </c>
      <c r="L34" s="308">
        <v>46188</v>
      </c>
      <c r="M34" s="296">
        <f>(L35-I34+1)/7</f>
        <v>18</v>
      </c>
      <c r="N34" s="365" t="s">
        <v>201</v>
      </c>
      <c r="P34" s="26"/>
    </row>
    <row r="35" spans="1:21" ht="16.5" customHeight="1" x14ac:dyDescent="0.3">
      <c r="A35" s="352"/>
      <c r="B35" s="13"/>
      <c r="C35" s="108"/>
      <c r="D35" s="15"/>
      <c r="E35" s="14"/>
      <c r="F35" s="138"/>
      <c r="G35" s="16"/>
      <c r="H35" s="332"/>
      <c r="I35" s="316">
        <v>46108</v>
      </c>
      <c r="J35" s="19">
        <v>46141</v>
      </c>
      <c r="K35" s="209">
        <v>46194</v>
      </c>
      <c r="L35" s="309">
        <v>46229</v>
      </c>
      <c r="M35" s="297"/>
      <c r="N35" s="366"/>
    </row>
    <row r="36" spans="1:21" ht="16.5" customHeight="1" thickBot="1" x14ac:dyDescent="0.35">
      <c r="A36" s="353"/>
      <c r="B36" s="47"/>
      <c r="C36" s="111"/>
      <c r="D36" s="49"/>
      <c r="E36" s="48"/>
      <c r="F36" s="105"/>
      <c r="G36" s="50"/>
      <c r="H36" s="334"/>
      <c r="I36" s="342">
        <f t="shared" ref="I36:K36" si="10">(I35-I34+1)/7</f>
        <v>0.7142857142857143</v>
      </c>
      <c r="J36" s="53">
        <f t="shared" si="10"/>
        <v>4.4285714285714288</v>
      </c>
      <c r="K36" s="211">
        <f t="shared" si="10"/>
        <v>7</v>
      </c>
      <c r="L36" s="221">
        <f t="shared" ref="L36" si="11">(L35-L34+1)/7</f>
        <v>6</v>
      </c>
      <c r="M36" s="299"/>
      <c r="N36" s="367"/>
      <c r="R36" s="39"/>
    </row>
    <row r="37" spans="1:21" ht="24" customHeight="1" thickBot="1" x14ac:dyDescent="0.35">
      <c r="A37" s="348" t="s">
        <v>208</v>
      </c>
      <c r="B37" s="349"/>
      <c r="C37" s="222">
        <f>SUM(C16:C36)</f>
        <v>9</v>
      </c>
      <c r="D37" s="223">
        <f>SUM(D16:D36)</f>
        <v>74</v>
      </c>
      <c r="E37" s="224">
        <f>SUM(E16:E36)</f>
        <v>16</v>
      </c>
      <c r="F37" s="225">
        <f>SUM(C37:E37)</f>
        <v>99</v>
      </c>
      <c r="G37" s="291"/>
      <c r="H37" s="335"/>
      <c r="I37" s="319">
        <f>AVERAGE(I18,I21,I24,I27,I30,I33,I36)</f>
        <v>0.67346938775510201</v>
      </c>
      <c r="J37" s="292">
        <f t="shared" ref="J37:L37" si="12">AVERAGE(J18,J21,J24,J27,J30,J33,J36)</f>
        <v>4.959183673469389</v>
      </c>
      <c r="K37" s="292">
        <f t="shared" si="12"/>
        <v>3.6530612244897958</v>
      </c>
      <c r="L37" s="310">
        <f t="shared" si="12"/>
        <v>4.8775510204081636</v>
      </c>
      <c r="M37" s="300">
        <f>AVERAGE(M16:M36)</f>
        <v>15.387755102040817</v>
      </c>
      <c r="N37" s="227" t="s">
        <v>41</v>
      </c>
      <c r="P37" s="350" t="s">
        <v>43</v>
      </c>
      <c r="Q37" s="350"/>
    </row>
    <row r="38" spans="1:21" ht="15" customHeight="1" x14ac:dyDescent="0.3">
      <c r="A38" s="351" t="s">
        <v>128</v>
      </c>
      <c r="B38" s="63" t="s">
        <v>129</v>
      </c>
      <c r="C38" s="191">
        <v>6</v>
      </c>
      <c r="D38" s="65"/>
      <c r="E38" s="274"/>
      <c r="F38" s="248">
        <f>C38+D38+E38</f>
        <v>6</v>
      </c>
      <c r="G38" s="280">
        <v>46104</v>
      </c>
      <c r="H38" s="336">
        <v>46104</v>
      </c>
      <c r="I38" s="320">
        <v>46153</v>
      </c>
      <c r="J38" s="241">
        <v>46160</v>
      </c>
      <c r="K38" s="201">
        <v>46190</v>
      </c>
      <c r="L38" s="311">
        <v>46230</v>
      </c>
      <c r="M38" s="301">
        <f>(L39-G38+1)/7</f>
        <v>20</v>
      </c>
      <c r="N38" s="354" t="s">
        <v>202</v>
      </c>
      <c r="O38" s="71"/>
      <c r="P38" s="5" t="s">
        <v>47</v>
      </c>
      <c r="Q38" s="72" t="e">
        <f>AVERAGE(I40,I43,I46,I49,I52,#REF!,#REF!,#REF!,#REF!,#REF!)</f>
        <v>#REF!</v>
      </c>
      <c r="R38" s="5">
        <v>1</v>
      </c>
      <c r="S38" s="39"/>
    </row>
    <row r="39" spans="1:21" ht="15" customHeight="1" x14ac:dyDescent="0.3">
      <c r="A39" s="352"/>
      <c r="B39" s="13"/>
      <c r="C39" s="108"/>
      <c r="D39" s="15"/>
      <c r="E39" s="275"/>
      <c r="F39" s="138"/>
      <c r="G39" s="16"/>
      <c r="H39" s="336">
        <v>46133</v>
      </c>
      <c r="I39" s="258">
        <v>46157</v>
      </c>
      <c r="J39" s="209">
        <v>46189</v>
      </c>
      <c r="K39" s="209">
        <v>46229</v>
      </c>
      <c r="L39" s="309">
        <v>46243</v>
      </c>
      <c r="M39" s="297"/>
      <c r="N39" s="355"/>
      <c r="O39" s="71"/>
      <c r="P39" s="5" t="s">
        <v>48</v>
      </c>
      <c r="Q39" s="72" t="e">
        <f>AVERAGE(J40,J43,J46,J49,J52,#REF!,#REF!,#REF!,#REF!,#REF!)</f>
        <v>#REF!</v>
      </c>
      <c r="R39" s="5">
        <v>6</v>
      </c>
    </row>
    <row r="40" spans="1:21" ht="15" customHeight="1" x14ac:dyDescent="0.3">
      <c r="A40" s="352"/>
      <c r="B40" s="27"/>
      <c r="C40" s="109"/>
      <c r="D40" s="29"/>
      <c r="E40" s="276"/>
      <c r="F40" s="139"/>
      <c r="G40" s="30"/>
      <c r="H40" s="298">
        <f t="shared" ref="H40:I40" si="13">(H39-H38+1)/7</f>
        <v>4.2857142857142856</v>
      </c>
      <c r="I40" s="259">
        <f t="shared" si="13"/>
        <v>0.7142857142857143</v>
      </c>
      <c r="J40" s="205">
        <f>(J39-J38+1)/7</f>
        <v>4.2857142857142856</v>
      </c>
      <c r="K40" s="340">
        <f t="shared" ref="K40" si="14">(K39-K38+1)/7</f>
        <v>5.7142857142857144</v>
      </c>
      <c r="L40" s="312">
        <f>(L39-L38+1)/7</f>
        <v>2</v>
      </c>
      <c r="M40" s="298"/>
      <c r="N40" s="356"/>
      <c r="O40" s="71"/>
      <c r="P40" s="5" t="s">
        <v>49</v>
      </c>
      <c r="Q40" s="72" t="e">
        <f>AVERAGE(L40,L43,L46,L49,L52,#REF!,#REF!,#REF!,#REF!,#REF!)</f>
        <v>#REF!</v>
      </c>
      <c r="R40" s="5">
        <v>5</v>
      </c>
      <c r="S40" s="39"/>
    </row>
    <row r="41" spans="1:21" ht="15" customHeight="1" x14ac:dyDescent="0.3">
      <c r="A41" s="352"/>
      <c r="B41" s="13" t="s">
        <v>130</v>
      </c>
      <c r="C41" s="108">
        <v>18</v>
      </c>
      <c r="D41" s="15"/>
      <c r="E41" s="14"/>
      <c r="F41" s="138">
        <f t="shared" ref="F41" si="15">C41+D41+E41</f>
        <v>18</v>
      </c>
      <c r="G41" s="279">
        <v>46133</v>
      </c>
      <c r="H41" s="336">
        <v>46133</v>
      </c>
      <c r="I41" s="321">
        <v>46188</v>
      </c>
      <c r="J41" s="201">
        <v>46195</v>
      </c>
      <c r="K41" s="201">
        <v>46223</v>
      </c>
      <c r="L41" s="308">
        <v>46237</v>
      </c>
      <c r="M41" s="297">
        <f>(L42-H41+1)/7</f>
        <v>22.285714285714285</v>
      </c>
      <c r="N41" s="357" t="s">
        <v>210</v>
      </c>
      <c r="Q41" s="76"/>
      <c r="R41" s="39"/>
    </row>
    <row r="42" spans="1:21" ht="15" customHeight="1" x14ac:dyDescent="0.3">
      <c r="A42" s="352"/>
      <c r="B42" s="13"/>
      <c r="C42" s="108"/>
      <c r="D42" s="15"/>
      <c r="E42" s="14"/>
      <c r="F42" s="138"/>
      <c r="G42" s="75"/>
      <c r="H42" s="336">
        <v>46181</v>
      </c>
      <c r="I42" s="258">
        <v>46192</v>
      </c>
      <c r="J42" s="209">
        <v>46222</v>
      </c>
      <c r="K42" s="209">
        <v>46243</v>
      </c>
      <c r="L42" s="309">
        <v>46288</v>
      </c>
      <c r="M42" s="297"/>
      <c r="N42" s="355"/>
    </row>
    <row r="43" spans="1:21" ht="15" customHeight="1" x14ac:dyDescent="0.3">
      <c r="A43" s="352"/>
      <c r="B43" s="27"/>
      <c r="C43" s="109"/>
      <c r="D43" s="29"/>
      <c r="E43" s="28"/>
      <c r="F43" s="139"/>
      <c r="G43" s="264"/>
      <c r="H43" s="298">
        <f t="shared" ref="H43:L43" si="16">(H42-H41+1)/7</f>
        <v>7</v>
      </c>
      <c r="I43" s="259">
        <f t="shared" si="16"/>
        <v>0.7142857142857143</v>
      </c>
      <c r="J43" s="205">
        <f t="shared" si="16"/>
        <v>4</v>
      </c>
      <c r="K43" s="211">
        <f t="shared" si="16"/>
        <v>3</v>
      </c>
      <c r="L43" s="312">
        <f t="shared" si="16"/>
        <v>7.4285714285714288</v>
      </c>
      <c r="M43" s="298"/>
      <c r="N43" s="356"/>
      <c r="Q43" s="39"/>
      <c r="S43" s="39"/>
    </row>
    <row r="44" spans="1:21" ht="15" customHeight="1" x14ac:dyDescent="0.3">
      <c r="A44" s="352"/>
      <c r="B44" s="13" t="s">
        <v>131</v>
      </c>
      <c r="C44" s="108">
        <v>18</v>
      </c>
      <c r="D44" s="15"/>
      <c r="E44" s="14">
        <v>8</v>
      </c>
      <c r="F44" s="138">
        <f t="shared" ref="F44" si="17">C44+D44+E44</f>
        <v>26</v>
      </c>
      <c r="G44" s="279">
        <v>46170</v>
      </c>
      <c r="H44" s="336">
        <v>46170</v>
      </c>
      <c r="I44" s="321">
        <v>46223</v>
      </c>
      <c r="J44" s="201">
        <v>46230</v>
      </c>
      <c r="K44" s="201">
        <v>46265</v>
      </c>
      <c r="L44" s="308">
        <v>46280</v>
      </c>
      <c r="M44" s="297">
        <f t="shared" ref="M44" si="18">(L45-H44+1)/7</f>
        <v>24.142857142857142</v>
      </c>
      <c r="N44" s="357" t="s">
        <v>211</v>
      </c>
      <c r="P44" s="39"/>
      <c r="U44" s="39"/>
    </row>
    <row r="45" spans="1:21" ht="15" customHeight="1" x14ac:dyDescent="0.3">
      <c r="A45" s="352"/>
      <c r="B45" s="13"/>
      <c r="C45" s="108"/>
      <c r="D45" s="15"/>
      <c r="E45" s="14"/>
      <c r="F45" s="138"/>
      <c r="G45" s="75"/>
      <c r="H45" s="336">
        <v>46213</v>
      </c>
      <c r="I45" s="258">
        <v>46227</v>
      </c>
      <c r="J45" s="209">
        <v>46262</v>
      </c>
      <c r="K45" s="209">
        <v>46292</v>
      </c>
      <c r="L45" s="309">
        <v>46338</v>
      </c>
      <c r="M45" s="297"/>
      <c r="N45" s="355"/>
      <c r="P45" s="77"/>
      <c r="R45" s="77"/>
      <c r="S45" s="77"/>
    </row>
    <row r="46" spans="1:21" ht="15" customHeight="1" x14ac:dyDescent="0.3">
      <c r="A46" s="352"/>
      <c r="B46" s="27"/>
      <c r="C46" s="109"/>
      <c r="D46" s="29"/>
      <c r="E46" s="28"/>
      <c r="F46" s="139"/>
      <c r="G46" s="264"/>
      <c r="H46" s="298">
        <f t="shared" ref="H46:L46" si="19">(H45-H44+1)/7</f>
        <v>6.2857142857142856</v>
      </c>
      <c r="I46" s="259">
        <f t="shared" si="19"/>
        <v>0.7142857142857143</v>
      </c>
      <c r="J46" s="205">
        <f t="shared" si="19"/>
        <v>4.7142857142857144</v>
      </c>
      <c r="K46" s="211">
        <f t="shared" si="19"/>
        <v>4</v>
      </c>
      <c r="L46" s="341">
        <f t="shared" si="19"/>
        <v>8.4285714285714288</v>
      </c>
      <c r="M46" s="298"/>
      <c r="N46" s="356"/>
      <c r="P46" s="77">
        <v>11.1</v>
      </c>
      <c r="Q46" s="77">
        <v>15.1</v>
      </c>
      <c r="R46" s="77">
        <f t="shared" ref="R46:R51" si="20">P46-Q46</f>
        <v>-4</v>
      </c>
      <c r="S46" s="77"/>
    </row>
    <row r="47" spans="1:21" ht="15" customHeight="1" x14ac:dyDescent="0.3">
      <c r="A47" s="352"/>
      <c r="B47" s="13" t="s">
        <v>132</v>
      </c>
      <c r="C47" s="108"/>
      <c r="D47" s="15">
        <v>14</v>
      </c>
      <c r="E47" s="14">
        <v>8</v>
      </c>
      <c r="F47" s="138">
        <f t="shared" ref="F47" si="21">C47+D47+E47</f>
        <v>22</v>
      </c>
      <c r="G47" s="279">
        <v>46204</v>
      </c>
      <c r="H47" s="336">
        <v>46204</v>
      </c>
      <c r="I47" s="321">
        <v>46252</v>
      </c>
      <c r="J47" s="201">
        <v>46258</v>
      </c>
      <c r="K47" s="201">
        <v>46300</v>
      </c>
      <c r="L47" s="308">
        <v>46336</v>
      </c>
      <c r="M47" s="297">
        <f>(L48-H47+1)/7</f>
        <v>21.857142857142858</v>
      </c>
      <c r="N47" s="357" t="s">
        <v>204</v>
      </c>
      <c r="P47" s="77">
        <v>10.7</v>
      </c>
      <c r="Q47" s="77">
        <v>15.1</v>
      </c>
      <c r="R47" s="77">
        <f t="shared" si="20"/>
        <v>-4.4000000000000004</v>
      </c>
      <c r="S47" s="77"/>
    </row>
    <row r="48" spans="1:21" ht="15" customHeight="1" x14ac:dyDescent="0.3">
      <c r="A48" s="352"/>
      <c r="B48" s="13"/>
      <c r="C48" s="108"/>
      <c r="D48" s="15"/>
      <c r="E48" s="14"/>
      <c r="F48" s="138"/>
      <c r="G48" s="75"/>
      <c r="H48" s="336">
        <v>46241</v>
      </c>
      <c r="I48" s="258">
        <v>46255</v>
      </c>
      <c r="J48" s="209">
        <v>46297</v>
      </c>
      <c r="K48" s="209">
        <v>46334</v>
      </c>
      <c r="L48" s="309">
        <v>46356</v>
      </c>
      <c r="M48" s="297"/>
      <c r="N48" s="355"/>
      <c r="P48" s="77">
        <v>10.3</v>
      </c>
      <c r="Q48" s="77">
        <v>14.7</v>
      </c>
      <c r="R48" s="77">
        <f t="shared" si="20"/>
        <v>-4.3999999999999986</v>
      </c>
      <c r="S48" s="77"/>
    </row>
    <row r="49" spans="1:20" ht="15" customHeight="1" x14ac:dyDescent="0.3">
      <c r="A49" s="352"/>
      <c r="B49" s="27"/>
      <c r="C49" s="109"/>
      <c r="D49" s="29"/>
      <c r="E49" s="28"/>
      <c r="F49" s="139"/>
      <c r="G49" s="264"/>
      <c r="H49" s="298">
        <f t="shared" ref="H49:L49" si="22">(H48-H47+1)/7</f>
        <v>5.4285714285714288</v>
      </c>
      <c r="I49" s="259">
        <f t="shared" si="22"/>
        <v>0.5714285714285714</v>
      </c>
      <c r="J49" s="205">
        <f t="shared" si="22"/>
        <v>5.7142857142857144</v>
      </c>
      <c r="K49" s="211">
        <f t="shared" si="22"/>
        <v>5</v>
      </c>
      <c r="L49" s="312">
        <f t="shared" si="22"/>
        <v>3</v>
      </c>
      <c r="M49" s="298"/>
      <c r="N49" s="356"/>
      <c r="P49" s="77">
        <v>7.7</v>
      </c>
      <c r="Q49" s="77">
        <v>10.7</v>
      </c>
      <c r="R49" s="77">
        <f t="shared" si="20"/>
        <v>-2.9999999999999991</v>
      </c>
      <c r="S49" s="77"/>
    </row>
    <row r="50" spans="1:20" ht="15" customHeight="1" x14ac:dyDescent="0.3">
      <c r="A50" s="352"/>
      <c r="B50" s="13" t="s">
        <v>133</v>
      </c>
      <c r="C50" s="108"/>
      <c r="D50" s="15">
        <v>14</v>
      </c>
      <c r="E50" s="14">
        <v>8</v>
      </c>
      <c r="F50" s="138">
        <f t="shared" ref="F50" si="23">C50+D50+E50</f>
        <v>22</v>
      </c>
      <c r="G50" s="279">
        <v>46238</v>
      </c>
      <c r="H50" s="336">
        <v>46238</v>
      </c>
      <c r="I50" s="321">
        <v>46293</v>
      </c>
      <c r="J50" s="201">
        <v>46300</v>
      </c>
      <c r="K50" s="201">
        <v>46342</v>
      </c>
      <c r="L50" s="308">
        <v>46349</v>
      </c>
      <c r="M50" s="297">
        <f t="shared" ref="M50" si="24">(L51-H50+1)/7</f>
        <v>21.428571428571427</v>
      </c>
      <c r="N50" s="357" t="s">
        <v>203</v>
      </c>
      <c r="P50" s="77">
        <v>9.6999999999999993</v>
      </c>
      <c r="Q50" s="77">
        <v>9.6999999999999993</v>
      </c>
      <c r="R50" s="77">
        <f t="shared" si="20"/>
        <v>0</v>
      </c>
      <c r="S50" s="77"/>
    </row>
    <row r="51" spans="1:20" ht="15" customHeight="1" x14ac:dyDescent="0.3">
      <c r="A51" s="352"/>
      <c r="B51" s="13"/>
      <c r="C51" s="108"/>
      <c r="D51" s="15"/>
      <c r="E51" s="14"/>
      <c r="F51" s="138"/>
      <c r="G51" s="75"/>
      <c r="H51" s="336">
        <v>46276</v>
      </c>
      <c r="I51" s="258">
        <v>46297</v>
      </c>
      <c r="J51" s="209">
        <v>46335</v>
      </c>
      <c r="K51" s="209">
        <v>46355</v>
      </c>
      <c r="L51" s="309">
        <v>46387</v>
      </c>
      <c r="M51" s="297"/>
      <c r="N51" s="355"/>
      <c r="P51" s="77">
        <v>9.6</v>
      </c>
      <c r="Q51" s="77">
        <v>9.6</v>
      </c>
      <c r="R51" s="77">
        <f t="shared" si="20"/>
        <v>0</v>
      </c>
      <c r="S51" s="77"/>
      <c r="T51" s="72"/>
    </row>
    <row r="52" spans="1:20" ht="15" customHeight="1" x14ac:dyDescent="0.3">
      <c r="A52" s="352"/>
      <c r="B52" s="27"/>
      <c r="C52" s="109"/>
      <c r="D52" s="29"/>
      <c r="E52" s="28"/>
      <c r="F52" s="139"/>
      <c r="G52" s="264"/>
      <c r="H52" s="298">
        <f t="shared" ref="H52:L52" si="25">(H51-H50+1)/7</f>
        <v>5.5714285714285712</v>
      </c>
      <c r="I52" s="259">
        <f t="shared" si="25"/>
        <v>0.7142857142857143</v>
      </c>
      <c r="J52" s="205">
        <f t="shared" si="25"/>
        <v>5.1428571428571432</v>
      </c>
      <c r="K52" s="211">
        <f t="shared" si="25"/>
        <v>2</v>
      </c>
      <c r="L52" s="312">
        <f t="shared" si="25"/>
        <v>5.5714285714285712</v>
      </c>
      <c r="M52" s="298"/>
      <c r="N52" s="356"/>
      <c r="P52" s="77"/>
      <c r="Q52" s="77"/>
      <c r="R52" s="77"/>
      <c r="S52" s="77"/>
    </row>
    <row r="53" spans="1:20" ht="15" customHeight="1" x14ac:dyDescent="0.3">
      <c r="A53" s="352"/>
      <c r="B53" s="13" t="s">
        <v>134</v>
      </c>
      <c r="C53" s="108">
        <v>6</v>
      </c>
      <c r="D53" s="15"/>
      <c r="E53" s="14">
        <v>8</v>
      </c>
      <c r="F53" s="138">
        <f>C53+D53+E53</f>
        <v>14</v>
      </c>
      <c r="G53" s="279">
        <v>46315</v>
      </c>
      <c r="H53" s="336">
        <v>46315</v>
      </c>
      <c r="I53" s="321">
        <v>46363</v>
      </c>
      <c r="J53" s="201">
        <v>46370</v>
      </c>
      <c r="K53" s="228"/>
      <c r="L53" s="313"/>
      <c r="M53" s="302"/>
      <c r="N53" s="358"/>
      <c r="P53" s="77"/>
      <c r="Q53" s="77"/>
      <c r="R53" s="77"/>
      <c r="S53" s="77"/>
    </row>
    <row r="54" spans="1:20" ht="15" customHeight="1" x14ac:dyDescent="0.3">
      <c r="A54" s="352"/>
      <c r="B54" s="13"/>
      <c r="C54" s="108"/>
      <c r="D54" s="15"/>
      <c r="E54" s="14"/>
      <c r="F54" s="138"/>
      <c r="G54" s="75"/>
      <c r="H54" s="336">
        <v>46353</v>
      </c>
      <c r="I54" s="258">
        <v>46367</v>
      </c>
      <c r="J54" s="229"/>
      <c r="K54" s="229"/>
      <c r="L54" s="314"/>
      <c r="M54" s="302"/>
      <c r="N54" s="359"/>
      <c r="P54" s="77"/>
      <c r="Q54" s="77"/>
      <c r="R54" s="77"/>
      <c r="S54" s="77"/>
    </row>
    <row r="55" spans="1:20" ht="15" customHeight="1" x14ac:dyDescent="0.3">
      <c r="A55" s="352"/>
      <c r="B55" s="27"/>
      <c r="C55" s="109"/>
      <c r="D55" s="29"/>
      <c r="E55" s="28"/>
      <c r="F55" s="139"/>
      <c r="G55" s="264"/>
      <c r="H55" s="298">
        <f t="shared" ref="H55:I55" si="26">(H54-H53+1)/7</f>
        <v>5.5714285714285712</v>
      </c>
      <c r="I55" s="259">
        <f t="shared" si="26"/>
        <v>0.7142857142857143</v>
      </c>
      <c r="J55" s="233"/>
      <c r="K55" s="232"/>
      <c r="L55" s="234"/>
      <c r="M55" s="303"/>
      <c r="N55" s="360"/>
      <c r="P55" s="77"/>
      <c r="Q55" s="77"/>
      <c r="R55" s="77"/>
      <c r="S55" s="77"/>
    </row>
    <row r="56" spans="1:20" ht="15" customHeight="1" x14ac:dyDescent="0.3">
      <c r="A56" s="352"/>
      <c r="B56" s="13" t="s">
        <v>135</v>
      </c>
      <c r="C56" s="108"/>
      <c r="D56" s="15">
        <v>14</v>
      </c>
      <c r="E56" s="14">
        <v>8</v>
      </c>
      <c r="F56" s="138">
        <f>C56+D56+E56</f>
        <v>22</v>
      </c>
      <c r="G56" s="279">
        <v>46350</v>
      </c>
      <c r="H56" s="336">
        <v>46350</v>
      </c>
      <c r="I56" s="322"/>
      <c r="J56" s="228"/>
      <c r="K56" s="228"/>
      <c r="L56" s="313"/>
      <c r="M56" s="302"/>
      <c r="N56" s="361"/>
      <c r="P56" s="77"/>
      <c r="Q56" s="77"/>
      <c r="R56" s="77"/>
      <c r="S56" s="77"/>
    </row>
    <row r="57" spans="1:20" ht="15" customHeight="1" x14ac:dyDescent="0.3">
      <c r="A57" s="352"/>
      <c r="B57" s="13"/>
      <c r="C57" s="108"/>
      <c r="D57" s="15"/>
      <c r="E57" s="14"/>
      <c r="F57" s="138"/>
      <c r="G57" s="75"/>
      <c r="H57" s="336">
        <v>46387</v>
      </c>
      <c r="I57" s="322"/>
      <c r="J57" s="229"/>
      <c r="K57" s="229"/>
      <c r="L57" s="314"/>
      <c r="M57" s="302"/>
      <c r="N57" s="362"/>
      <c r="P57" s="77"/>
      <c r="Q57" s="77"/>
      <c r="R57" s="77"/>
      <c r="S57" s="77"/>
    </row>
    <row r="58" spans="1:20" ht="15" customHeight="1" x14ac:dyDescent="0.3">
      <c r="A58" s="352"/>
      <c r="B58" s="27"/>
      <c r="C58" s="109"/>
      <c r="D58" s="29"/>
      <c r="E58" s="28"/>
      <c r="F58" s="139"/>
      <c r="G58" s="264"/>
      <c r="H58" s="298">
        <f t="shared" ref="H58" si="27">(H57-H56+1)/7</f>
        <v>5.4285714285714288</v>
      </c>
      <c r="I58" s="323"/>
      <c r="J58" s="233"/>
      <c r="K58" s="232"/>
      <c r="L58" s="234"/>
      <c r="M58" s="303"/>
      <c r="N58" s="363"/>
      <c r="P58" s="77"/>
      <c r="Q58" s="77"/>
      <c r="R58" s="77"/>
      <c r="S58" s="77"/>
    </row>
    <row r="59" spans="1:20" ht="15" customHeight="1" x14ac:dyDescent="0.3">
      <c r="A59" s="352"/>
      <c r="B59" s="13" t="s">
        <v>136</v>
      </c>
      <c r="C59" s="108">
        <v>1</v>
      </c>
      <c r="D59" s="15">
        <v>13</v>
      </c>
      <c r="E59" s="14">
        <v>8</v>
      </c>
      <c r="F59" s="138">
        <f t="shared" ref="F59" si="28">C59+D59+E59</f>
        <v>22</v>
      </c>
      <c r="G59" s="279">
        <v>46385</v>
      </c>
      <c r="H59" s="336">
        <v>46385</v>
      </c>
      <c r="I59" s="322"/>
      <c r="J59" s="228"/>
      <c r="K59" s="228"/>
      <c r="L59" s="313"/>
      <c r="M59" s="302"/>
      <c r="N59" s="361"/>
      <c r="P59" s="77"/>
      <c r="Q59" s="77"/>
      <c r="R59" s="77"/>
      <c r="S59" s="77"/>
    </row>
    <row r="60" spans="1:20" ht="15" customHeight="1" x14ac:dyDescent="0.3">
      <c r="A60" s="352"/>
      <c r="B60" s="13"/>
      <c r="C60" s="108"/>
      <c r="D60" s="15"/>
      <c r="E60" s="14"/>
      <c r="F60" s="138"/>
      <c r="G60" s="75"/>
      <c r="H60" s="336">
        <v>46423</v>
      </c>
      <c r="I60" s="322"/>
      <c r="J60" s="229"/>
      <c r="K60" s="229"/>
      <c r="L60" s="314"/>
      <c r="M60" s="302"/>
      <c r="N60" s="362"/>
      <c r="P60" s="77"/>
      <c r="Q60" s="77"/>
      <c r="R60" s="77"/>
      <c r="S60" s="77"/>
    </row>
    <row r="61" spans="1:20" ht="15" customHeight="1" x14ac:dyDescent="0.3">
      <c r="A61" s="352"/>
      <c r="B61" s="27"/>
      <c r="C61" s="109"/>
      <c r="D61" s="29"/>
      <c r="E61" s="28"/>
      <c r="F61" s="139"/>
      <c r="G61" s="264"/>
      <c r="H61" s="298">
        <f t="shared" ref="H61" si="29">(H60-H59+1)/7</f>
        <v>5.5714285714285712</v>
      </c>
      <c r="I61" s="323"/>
      <c r="J61" s="233"/>
      <c r="K61" s="232"/>
      <c r="L61" s="234"/>
      <c r="M61" s="303"/>
      <c r="N61" s="363"/>
      <c r="P61" s="77"/>
      <c r="Q61" s="77"/>
      <c r="R61" s="77"/>
      <c r="S61" s="77"/>
    </row>
    <row r="62" spans="1:20" ht="15" customHeight="1" x14ac:dyDescent="0.3">
      <c r="A62" s="352"/>
      <c r="B62" s="13" t="s">
        <v>137</v>
      </c>
      <c r="C62" s="108"/>
      <c r="D62" s="15">
        <v>10</v>
      </c>
      <c r="E62" s="14">
        <v>8</v>
      </c>
      <c r="F62" s="138">
        <f t="shared" ref="F62" si="30">C62+D62+E62</f>
        <v>18</v>
      </c>
      <c r="G62" s="279">
        <v>46420</v>
      </c>
      <c r="H62" s="336">
        <v>46420</v>
      </c>
      <c r="I62" s="322"/>
      <c r="J62" s="228"/>
      <c r="K62" s="228"/>
      <c r="L62" s="313"/>
      <c r="M62" s="302"/>
      <c r="N62" s="361"/>
      <c r="P62" s="77"/>
      <c r="Q62" s="77"/>
      <c r="R62" s="77"/>
      <c r="S62" s="77"/>
    </row>
    <row r="63" spans="1:20" ht="15" customHeight="1" x14ac:dyDescent="0.3">
      <c r="A63" s="352"/>
      <c r="B63" s="13"/>
      <c r="C63" s="108"/>
      <c r="D63" s="15"/>
      <c r="E63" s="14"/>
      <c r="F63" s="138"/>
      <c r="G63" s="16"/>
      <c r="H63" s="336">
        <v>46458</v>
      </c>
      <c r="I63" s="322"/>
      <c r="J63" s="229"/>
      <c r="K63" s="229"/>
      <c r="L63" s="314"/>
      <c r="M63" s="302"/>
      <c r="N63" s="362"/>
      <c r="P63" s="77"/>
      <c r="Q63" s="77"/>
      <c r="R63" s="77"/>
      <c r="S63" s="77"/>
    </row>
    <row r="64" spans="1:20" ht="15" customHeight="1" thickBot="1" x14ac:dyDescent="0.35">
      <c r="A64" s="353"/>
      <c r="B64" s="47"/>
      <c r="C64" s="111"/>
      <c r="D64" s="49"/>
      <c r="E64" s="48"/>
      <c r="F64" s="105"/>
      <c r="G64" s="50"/>
      <c r="H64" s="337">
        <f t="shared" ref="H64" si="31">(H63-H62+1)/7</f>
        <v>5.5714285714285712</v>
      </c>
      <c r="I64" s="324"/>
      <c r="J64" s="236"/>
      <c r="K64" s="235"/>
      <c r="L64" s="237"/>
      <c r="M64" s="304"/>
      <c r="N64" s="364"/>
      <c r="P64" s="77"/>
      <c r="Q64" s="77"/>
      <c r="R64" s="77"/>
      <c r="S64" s="77"/>
    </row>
    <row r="65" spans="1:14" ht="24" customHeight="1" thickBot="1" x14ac:dyDescent="0.35">
      <c r="A65" s="343" t="s">
        <v>208</v>
      </c>
      <c r="B65" s="344"/>
      <c r="C65" s="200">
        <f>SUM(C38:C64)</f>
        <v>49</v>
      </c>
      <c r="D65" s="58">
        <f>SUM(D38:D64)</f>
        <v>65</v>
      </c>
      <c r="E65" s="56">
        <f>SUM(E38:E64)</f>
        <v>56</v>
      </c>
      <c r="F65" s="140">
        <f>SUM(C65:E65)</f>
        <v>170</v>
      </c>
      <c r="G65" s="273" t="s">
        <v>183</v>
      </c>
      <c r="H65" s="338">
        <f>AVERAGE(H40,H43,H46,H49,H52,H55,H58,H61,H64)</f>
        <v>5.6349206349206344</v>
      </c>
      <c r="I65" s="325">
        <f t="shared" ref="I65:L65" si="32">AVERAGE(I40,I43,I46,I49,I52,I55,I58,I61,I64)</f>
        <v>0.69047619047619058</v>
      </c>
      <c r="J65" s="288">
        <f t="shared" si="32"/>
        <v>4.7714285714285714</v>
      </c>
      <c r="K65" s="288">
        <f t="shared" si="32"/>
        <v>3.9428571428571431</v>
      </c>
      <c r="L65" s="305">
        <f t="shared" si="32"/>
        <v>5.2857142857142865</v>
      </c>
      <c r="M65" s="305">
        <f>AVERAGE(M38:M64)</f>
        <v>21.942857142857143</v>
      </c>
      <c r="N65" s="62" t="s">
        <v>41</v>
      </c>
    </row>
    <row r="66" spans="1:14" ht="24" customHeight="1" thickBot="1" x14ac:dyDescent="0.35">
      <c r="A66" s="345" t="s">
        <v>209</v>
      </c>
      <c r="B66" s="346"/>
      <c r="C66" s="112">
        <f>C37+C65</f>
        <v>58</v>
      </c>
      <c r="D66" s="114">
        <f>D37+D65</f>
        <v>139</v>
      </c>
      <c r="E66" s="57">
        <f>E37+E65</f>
        <v>72</v>
      </c>
      <c r="F66" s="140">
        <f>SUM(C66:E66)</f>
        <v>269</v>
      </c>
      <c r="G66" s="273" t="s">
        <v>183</v>
      </c>
      <c r="H66" s="339">
        <f>AVERAGE(H37,H65)</f>
        <v>5.6349206349206344</v>
      </c>
      <c r="I66" s="325">
        <f>AVERAGE(I37,I65)</f>
        <v>0.68197278911564629</v>
      </c>
      <c r="J66" s="325">
        <f t="shared" ref="J66:L66" si="33">AVERAGE(J37,J65)</f>
        <v>4.8653061224489802</v>
      </c>
      <c r="K66" s="325">
        <f t="shared" si="33"/>
        <v>3.7979591836734694</v>
      </c>
      <c r="L66" s="289">
        <f t="shared" si="33"/>
        <v>5.0816326530612255</v>
      </c>
      <c r="M66" s="305">
        <f>AVERAGE(M37,M65)</f>
        <v>18.665306122448982</v>
      </c>
      <c r="N66" s="290">
        <f>SUM(I66:L66)</f>
        <v>14.426870748299322</v>
      </c>
    </row>
    <row r="67" spans="1:14" ht="45.75" customHeight="1" x14ac:dyDescent="0.3">
      <c r="A67" s="347" t="s">
        <v>184</v>
      </c>
      <c r="B67" s="347"/>
      <c r="C67" s="347"/>
      <c r="D67" s="347"/>
      <c r="E67" s="347"/>
      <c r="F67" s="347"/>
      <c r="G67" s="347"/>
      <c r="H67" s="347"/>
      <c r="I67" s="347"/>
      <c r="J67" s="285"/>
      <c r="K67" s="285"/>
      <c r="L67" s="285"/>
      <c r="M67" s="285"/>
      <c r="N67" s="285"/>
    </row>
    <row r="68" spans="1:14" ht="17.25" x14ac:dyDescent="0.3">
      <c r="A68" s="194"/>
      <c r="I68" s="39"/>
    </row>
    <row r="69" spans="1:14" x14ac:dyDescent="0.3">
      <c r="D69" s="39"/>
      <c r="H69" s="39"/>
      <c r="I69" s="39"/>
    </row>
    <row r="70" spans="1:14" x14ac:dyDescent="0.3">
      <c r="C70" s="39"/>
      <c r="D70" s="39"/>
      <c r="H70" s="39"/>
    </row>
  </sheetData>
  <mergeCells count="56">
    <mergeCell ref="A16:A36"/>
    <mergeCell ref="A2:N2"/>
    <mergeCell ref="A4:B4"/>
    <mergeCell ref="A5:B5"/>
    <mergeCell ref="C5:F5"/>
    <mergeCell ref="G5:H5"/>
    <mergeCell ref="I5:N5"/>
    <mergeCell ref="A6:B6"/>
    <mergeCell ref="C6:F6"/>
    <mergeCell ref="G6:H6"/>
    <mergeCell ref="I6:N8"/>
    <mergeCell ref="A7:B7"/>
    <mergeCell ref="C7:F7"/>
    <mergeCell ref="G7:H7"/>
    <mergeCell ref="A8:B8"/>
    <mergeCell ref="C8:F8"/>
    <mergeCell ref="G8:H8"/>
    <mergeCell ref="A12:A15"/>
    <mergeCell ref="B12:B15"/>
    <mergeCell ref="C12:E12"/>
    <mergeCell ref="F12:F15"/>
    <mergeCell ref="G12:M12"/>
    <mergeCell ref="A9:B9"/>
    <mergeCell ref="C9:F9"/>
    <mergeCell ref="G9:H9"/>
    <mergeCell ref="I9:N9"/>
    <mergeCell ref="A11:B11"/>
    <mergeCell ref="N31:N33"/>
    <mergeCell ref="N34:N36"/>
    <mergeCell ref="N12:N15"/>
    <mergeCell ref="C13:D14"/>
    <mergeCell ref="E13:E14"/>
    <mergeCell ref="G13:M13"/>
    <mergeCell ref="G14:G15"/>
    <mergeCell ref="I14:L14"/>
    <mergeCell ref="M14:M15"/>
    <mergeCell ref="N16:N18"/>
    <mergeCell ref="N19:N21"/>
    <mergeCell ref="N22:N24"/>
    <mergeCell ref="N25:N27"/>
    <mergeCell ref="N28:N30"/>
    <mergeCell ref="A65:B65"/>
    <mergeCell ref="A66:B66"/>
    <mergeCell ref="A67:I67"/>
    <mergeCell ref="A37:B37"/>
    <mergeCell ref="P37:Q37"/>
    <mergeCell ref="A38:A64"/>
    <mergeCell ref="N38:N40"/>
    <mergeCell ref="N41:N43"/>
    <mergeCell ref="N44:N46"/>
    <mergeCell ref="N47:N49"/>
    <mergeCell ref="N50:N52"/>
    <mergeCell ref="N53:N55"/>
    <mergeCell ref="N56:N58"/>
    <mergeCell ref="N59:N61"/>
    <mergeCell ref="N62:N64"/>
  </mergeCells>
  <phoneticPr fontId="2" type="noConversion"/>
  <printOptions horizontalCentered="1"/>
  <pageMargins left="0.31496062992125984" right="0.31496062992125984" top="0.74803149606299213" bottom="0.39370078740157483" header="0.31496062992125984" footer="0.31496062992125984"/>
  <pageSetup paperSize="9"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C61DA-D155-4F1B-90BB-7AF98DD7E9A6}">
  <sheetPr>
    <pageSetUpPr fitToPage="1"/>
  </sheetPr>
  <dimension ref="A1:U73"/>
  <sheetViews>
    <sheetView showGridLines="0" workbookViewId="0">
      <selection activeCell="C22" sqref="C22"/>
    </sheetView>
  </sheetViews>
  <sheetFormatPr defaultColWidth="9" defaultRowHeight="16.5" x14ac:dyDescent="0.3"/>
  <cols>
    <col min="1" max="1" width="10.5" style="5" customWidth="1"/>
    <col min="2" max="2" width="13" style="5" customWidth="1"/>
    <col min="3" max="6" width="6.375" style="5" customWidth="1"/>
    <col min="7" max="7" width="13.125" style="5" customWidth="1"/>
    <col min="8" max="12" width="11.625" style="5" customWidth="1"/>
    <col min="13" max="13" width="10.125" style="5" customWidth="1"/>
    <col min="14" max="14" width="18" style="100" customWidth="1"/>
    <col min="15" max="15" width="5.625" style="5" customWidth="1"/>
    <col min="16" max="16" width="15.625" style="5" hidden="1" customWidth="1"/>
    <col min="17" max="18" width="11.75" style="5" hidden="1" customWidth="1"/>
    <col min="19" max="24" width="8.75" style="5" customWidth="1"/>
    <col min="25" max="16384" width="9" style="5"/>
  </cols>
  <sheetData>
    <row r="1" spans="1:19" ht="20.25" x14ac:dyDescent="0.3">
      <c r="A1" s="254" t="s">
        <v>177</v>
      </c>
    </row>
    <row r="2" spans="1:19" s="1" customFormat="1" ht="39" customHeight="1" x14ac:dyDescent="0.3">
      <c r="A2" s="417" t="s">
        <v>126</v>
      </c>
      <c r="B2" s="417"/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</row>
    <row r="3" spans="1:19" ht="22.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4">
        <v>46118</v>
      </c>
    </row>
    <row r="4" spans="1:19" ht="24" customHeight="1" x14ac:dyDescent="0.3">
      <c r="A4" s="418" t="s">
        <v>0</v>
      </c>
      <c r="B4" s="419"/>
      <c r="C4" s="2"/>
      <c r="D4" s="2"/>
      <c r="E4" s="2"/>
      <c r="F4" s="2"/>
      <c r="G4" s="2"/>
      <c r="H4" s="6"/>
      <c r="I4" s="6"/>
      <c r="J4" s="6"/>
      <c r="K4" s="6"/>
      <c r="L4" s="6"/>
      <c r="M4" s="6"/>
      <c r="N4" s="7"/>
    </row>
    <row r="5" spans="1:19" ht="35.25" customHeight="1" thickBot="1" x14ac:dyDescent="0.35">
      <c r="A5" s="420" t="s">
        <v>1</v>
      </c>
      <c r="B5" s="421"/>
      <c r="C5" s="422" t="s">
        <v>186</v>
      </c>
      <c r="D5" s="423"/>
      <c r="E5" s="424"/>
      <c r="F5" s="420"/>
      <c r="G5" s="422" t="s">
        <v>95</v>
      </c>
      <c r="H5" s="425"/>
      <c r="I5" s="426" t="s">
        <v>5</v>
      </c>
      <c r="J5" s="424"/>
      <c r="K5" s="424"/>
      <c r="L5" s="424"/>
      <c r="M5" s="424"/>
      <c r="N5" s="424"/>
    </row>
    <row r="6" spans="1:19" ht="24" customHeight="1" x14ac:dyDescent="0.3">
      <c r="A6" s="427" t="s">
        <v>9</v>
      </c>
      <c r="B6" s="428"/>
      <c r="C6" s="429">
        <f>F40</f>
        <v>99</v>
      </c>
      <c r="D6" s="430"/>
      <c r="E6" s="430"/>
      <c r="F6" s="431"/>
      <c r="G6" s="432"/>
      <c r="H6" s="433"/>
      <c r="I6" s="434" t="s">
        <v>185</v>
      </c>
      <c r="J6" s="435"/>
      <c r="K6" s="435"/>
      <c r="L6" s="435"/>
      <c r="M6" s="435"/>
      <c r="N6" s="435"/>
    </row>
    <row r="7" spans="1:19" ht="24" customHeight="1" x14ac:dyDescent="0.3">
      <c r="A7" s="440" t="s">
        <v>73</v>
      </c>
      <c r="B7" s="441"/>
      <c r="C7" s="442">
        <f>SUM(F41:F64)</f>
        <v>152</v>
      </c>
      <c r="D7" s="443"/>
      <c r="E7" s="443"/>
      <c r="F7" s="444"/>
      <c r="G7" s="442"/>
      <c r="H7" s="444"/>
      <c r="I7" s="436"/>
      <c r="J7" s="437"/>
      <c r="K7" s="437"/>
      <c r="L7" s="437"/>
      <c r="M7" s="437"/>
      <c r="N7" s="437"/>
    </row>
    <row r="8" spans="1:19" ht="24" customHeight="1" thickBot="1" x14ac:dyDescent="0.35">
      <c r="A8" s="445" t="s">
        <v>127</v>
      </c>
      <c r="B8" s="446"/>
      <c r="C8" s="392"/>
      <c r="D8" s="447"/>
      <c r="E8" s="447"/>
      <c r="F8" s="393"/>
      <c r="G8" s="392">
        <f>SUM(F56:F67)</f>
        <v>76</v>
      </c>
      <c r="H8" s="393"/>
      <c r="I8" s="438"/>
      <c r="J8" s="439"/>
      <c r="K8" s="439"/>
      <c r="L8" s="439"/>
      <c r="M8" s="439"/>
      <c r="N8" s="439"/>
    </row>
    <row r="9" spans="1:19" ht="24" customHeight="1" x14ac:dyDescent="0.3">
      <c r="A9" s="407" t="s">
        <v>10</v>
      </c>
      <c r="B9" s="408"/>
      <c r="C9" s="409">
        <f>SUM(C6:F8)</f>
        <v>251</v>
      </c>
      <c r="D9" s="410"/>
      <c r="E9" s="410"/>
      <c r="F9" s="411"/>
      <c r="G9" s="412">
        <f>G8</f>
        <v>76</v>
      </c>
      <c r="H9" s="413"/>
      <c r="I9" s="412"/>
      <c r="J9" s="414"/>
      <c r="K9" s="414"/>
      <c r="L9" s="414"/>
      <c r="M9" s="414"/>
      <c r="N9" s="414"/>
    </row>
    <row r="10" spans="1:19" ht="12" customHeight="1" x14ac:dyDescent="0.3">
      <c r="A10" s="8"/>
      <c r="B10" s="8"/>
      <c r="C10" s="8"/>
      <c r="D10" s="8"/>
      <c r="E10" s="125"/>
      <c r="F10" s="8"/>
      <c r="G10" s="8"/>
      <c r="H10" s="125"/>
      <c r="I10" s="8"/>
      <c r="J10" s="8"/>
      <c r="K10" s="8"/>
      <c r="L10" s="8"/>
      <c r="M10" s="8"/>
      <c r="N10" s="8"/>
      <c r="S10" s="39"/>
    </row>
    <row r="11" spans="1:19" ht="29.25" customHeight="1" thickBot="1" x14ac:dyDescent="0.35">
      <c r="A11" s="415" t="s">
        <v>11</v>
      </c>
      <c r="B11" s="416"/>
      <c r="C11" s="8"/>
      <c r="D11" s="8"/>
      <c r="E11" s="8"/>
      <c r="F11" s="125">
        <f>SUM(F16:F27)</f>
        <v>32</v>
      </c>
      <c r="G11" s="8">
        <v>145</v>
      </c>
      <c r="H11" s="284">
        <f>F11+G11</f>
        <v>177</v>
      </c>
      <c r="I11" s="195"/>
      <c r="J11" s="195"/>
      <c r="K11" s="195"/>
      <c r="L11" s="195"/>
      <c r="M11" s="195"/>
      <c r="N11" s="195"/>
    </row>
    <row r="12" spans="1:19" ht="27.75" customHeight="1" x14ac:dyDescent="0.3">
      <c r="A12" s="394" t="s">
        <v>12</v>
      </c>
      <c r="B12" s="397" t="s">
        <v>13</v>
      </c>
      <c r="C12" s="399" t="s">
        <v>14</v>
      </c>
      <c r="D12" s="399"/>
      <c r="E12" s="400"/>
      <c r="F12" s="401" t="s">
        <v>15</v>
      </c>
      <c r="G12" s="404" t="s">
        <v>18</v>
      </c>
      <c r="H12" s="405"/>
      <c r="I12" s="405"/>
      <c r="J12" s="405"/>
      <c r="K12" s="405"/>
      <c r="L12" s="405"/>
      <c r="M12" s="406"/>
      <c r="N12" s="368" t="s">
        <v>162</v>
      </c>
    </row>
    <row r="13" spans="1:19" ht="22.5" customHeight="1" x14ac:dyDescent="0.3">
      <c r="A13" s="395"/>
      <c r="B13" s="398"/>
      <c r="C13" s="371" t="s">
        <v>96</v>
      </c>
      <c r="D13" s="372"/>
      <c r="E13" s="375" t="s">
        <v>139</v>
      </c>
      <c r="F13" s="402"/>
      <c r="G13" s="377" t="s">
        <v>197</v>
      </c>
      <c r="H13" s="378"/>
      <c r="I13" s="378"/>
      <c r="J13" s="378"/>
      <c r="K13" s="378"/>
      <c r="L13" s="378"/>
      <c r="M13" s="379"/>
      <c r="N13" s="369"/>
    </row>
    <row r="14" spans="1:19" ht="22.5" customHeight="1" x14ac:dyDescent="0.3">
      <c r="A14" s="395"/>
      <c r="B14" s="398"/>
      <c r="C14" s="373"/>
      <c r="D14" s="374"/>
      <c r="E14" s="376"/>
      <c r="F14" s="402"/>
      <c r="G14" s="380" t="s">
        <v>178</v>
      </c>
      <c r="H14" s="256" t="s">
        <v>198</v>
      </c>
      <c r="I14" s="448" t="s">
        <v>179</v>
      </c>
      <c r="J14" s="382"/>
      <c r="K14" s="382"/>
      <c r="L14" s="449"/>
      <c r="M14" s="450" t="s">
        <v>27</v>
      </c>
      <c r="N14" s="369"/>
    </row>
    <row r="15" spans="1:19" ht="34.5" customHeight="1" thickBot="1" x14ac:dyDescent="0.35">
      <c r="A15" s="396"/>
      <c r="B15" s="385"/>
      <c r="C15" s="257" t="s">
        <v>98</v>
      </c>
      <c r="D15" s="104" t="s">
        <v>99</v>
      </c>
      <c r="E15" s="104" t="s">
        <v>98</v>
      </c>
      <c r="F15" s="403"/>
      <c r="G15" s="381"/>
      <c r="H15" s="255" t="s">
        <v>181</v>
      </c>
      <c r="I15" s="281" t="s">
        <v>24</v>
      </c>
      <c r="J15" s="10" t="s">
        <v>25</v>
      </c>
      <c r="K15" s="10" t="s">
        <v>111</v>
      </c>
      <c r="L15" s="11" t="s">
        <v>26</v>
      </c>
      <c r="M15" s="403"/>
      <c r="N15" s="370"/>
    </row>
    <row r="16" spans="1:19" ht="16.5" customHeight="1" x14ac:dyDescent="0.3">
      <c r="A16" s="351" t="s">
        <v>74</v>
      </c>
      <c r="B16" s="196" t="s">
        <v>142</v>
      </c>
      <c r="C16" s="108"/>
      <c r="D16" s="15"/>
      <c r="E16" s="14">
        <v>7</v>
      </c>
      <c r="F16" s="138">
        <f t="shared" ref="F16" si="0">C16+D16+E16</f>
        <v>7</v>
      </c>
      <c r="G16" s="117">
        <v>45929</v>
      </c>
      <c r="H16" s="266"/>
      <c r="I16" s="19">
        <v>45929</v>
      </c>
      <c r="J16" s="37">
        <v>45944</v>
      </c>
      <c r="K16" s="37">
        <v>45978</v>
      </c>
      <c r="L16" s="37">
        <v>46010</v>
      </c>
      <c r="M16" s="21">
        <f>(L17-I16+1)/7</f>
        <v>14.714285714285714</v>
      </c>
      <c r="N16" s="386" t="s">
        <v>168</v>
      </c>
    </row>
    <row r="17" spans="1:20" ht="16.5" customHeight="1" x14ac:dyDescent="0.3">
      <c r="A17" s="352"/>
      <c r="B17" s="196"/>
      <c r="C17" s="108"/>
      <c r="D17" s="15"/>
      <c r="E17" s="14"/>
      <c r="F17" s="138"/>
      <c r="G17" s="118"/>
      <c r="H17" s="267"/>
      <c r="I17" s="19">
        <v>45932</v>
      </c>
      <c r="J17" s="19">
        <v>45980</v>
      </c>
      <c r="K17" s="19">
        <v>46009</v>
      </c>
      <c r="L17" s="120">
        <v>46031</v>
      </c>
      <c r="M17" s="24"/>
      <c r="N17" s="387"/>
    </row>
    <row r="18" spans="1:20" ht="16.5" customHeight="1" x14ac:dyDescent="0.3">
      <c r="A18" s="352"/>
      <c r="B18" s="198"/>
      <c r="C18" s="109"/>
      <c r="D18" s="29"/>
      <c r="E18" s="28"/>
      <c r="F18" s="139"/>
      <c r="G18" s="119"/>
      <c r="H18" s="268"/>
      <c r="I18" s="33">
        <f t="shared" ref="I18:L18" si="1">(I17-I16+1)/7</f>
        <v>0.5714285714285714</v>
      </c>
      <c r="J18" s="33">
        <f t="shared" si="1"/>
        <v>5.2857142857142856</v>
      </c>
      <c r="K18" s="33">
        <f t="shared" si="1"/>
        <v>4.5714285714285712</v>
      </c>
      <c r="L18" s="33">
        <f t="shared" si="1"/>
        <v>3.1428571428571428</v>
      </c>
      <c r="M18" s="35"/>
      <c r="N18" s="388"/>
    </row>
    <row r="19" spans="1:20" ht="16.5" customHeight="1" x14ac:dyDescent="0.3">
      <c r="A19" s="352"/>
      <c r="B19" s="212" t="s">
        <v>143</v>
      </c>
      <c r="C19" s="110"/>
      <c r="D19" s="43"/>
      <c r="E19" s="42">
        <v>6</v>
      </c>
      <c r="F19" s="138">
        <f>C19+D19+E19</f>
        <v>6</v>
      </c>
      <c r="G19" s="117">
        <v>45971</v>
      </c>
      <c r="H19" s="266"/>
      <c r="I19" s="37">
        <v>45971</v>
      </c>
      <c r="J19" s="37">
        <v>45980</v>
      </c>
      <c r="K19" s="37">
        <v>46020</v>
      </c>
      <c r="L19" s="37">
        <v>46034</v>
      </c>
      <c r="M19" s="21">
        <f>(L20-I19+1)/7</f>
        <v>11.714285714285714</v>
      </c>
      <c r="N19" s="389" t="s">
        <v>147</v>
      </c>
      <c r="P19" s="26"/>
      <c r="S19" s="39"/>
      <c r="T19" s="39"/>
    </row>
    <row r="20" spans="1:20" ht="16.5" customHeight="1" x14ac:dyDescent="0.3">
      <c r="A20" s="352"/>
      <c r="B20" s="213"/>
      <c r="C20" s="108"/>
      <c r="D20" s="15"/>
      <c r="E20" s="14"/>
      <c r="F20" s="138"/>
      <c r="G20" s="118"/>
      <c r="H20" s="267"/>
      <c r="I20" s="19">
        <v>45975</v>
      </c>
      <c r="J20" s="19">
        <v>46017</v>
      </c>
      <c r="K20" s="19">
        <v>46033</v>
      </c>
      <c r="L20" s="120">
        <v>46052</v>
      </c>
      <c r="M20" s="24"/>
      <c r="N20" s="390"/>
      <c r="S20" s="39"/>
    </row>
    <row r="21" spans="1:20" ht="16.5" customHeight="1" x14ac:dyDescent="0.3">
      <c r="A21" s="352"/>
      <c r="B21" s="215"/>
      <c r="C21" s="109"/>
      <c r="D21" s="29"/>
      <c r="E21" s="28"/>
      <c r="F21" s="139"/>
      <c r="G21" s="119"/>
      <c r="H21" s="268"/>
      <c r="I21" s="33">
        <f t="shared" ref="I21:L21" si="2">(I20-I19+1)/7</f>
        <v>0.7142857142857143</v>
      </c>
      <c r="J21" s="33">
        <f t="shared" si="2"/>
        <v>5.4285714285714288</v>
      </c>
      <c r="K21" s="193">
        <f t="shared" si="2"/>
        <v>2</v>
      </c>
      <c r="L21" s="33">
        <f t="shared" si="2"/>
        <v>2.7142857142857144</v>
      </c>
      <c r="M21" s="35"/>
      <c r="N21" s="391"/>
    </row>
    <row r="22" spans="1:20" ht="16.5" customHeight="1" x14ac:dyDescent="0.3">
      <c r="A22" s="352"/>
      <c r="B22" s="212" t="s">
        <v>144</v>
      </c>
      <c r="C22" s="110"/>
      <c r="D22" s="43">
        <v>16</v>
      </c>
      <c r="E22" s="239"/>
      <c r="F22" s="138">
        <f>C22+D22+E22</f>
        <v>16</v>
      </c>
      <c r="G22" s="117">
        <v>45971</v>
      </c>
      <c r="H22" s="266"/>
      <c r="I22" s="37">
        <v>45971</v>
      </c>
      <c r="J22" s="37">
        <v>45980</v>
      </c>
      <c r="K22" s="37">
        <v>46020</v>
      </c>
      <c r="L22" s="37">
        <v>46036</v>
      </c>
      <c r="M22" s="21">
        <f>(L23-I22+1)/7</f>
        <v>15.142857142857142</v>
      </c>
      <c r="N22" s="389" t="s">
        <v>187</v>
      </c>
    </row>
    <row r="23" spans="1:20" ht="16.5" customHeight="1" x14ac:dyDescent="0.3">
      <c r="A23" s="352"/>
      <c r="B23" s="213"/>
      <c r="C23" s="108"/>
      <c r="D23" s="15"/>
      <c r="E23" s="14"/>
      <c r="F23" s="138"/>
      <c r="G23" s="118"/>
      <c r="H23" s="267"/>
      <c r="I23" s="19">
        <v>45975</v>
      </c>
      <c r="J23" s="19">
        <v>46017</v>
      </c>
      <c r="K23" s="19">
        <v>46033</v>
      </c>
      <c r="L23" s="120">
        <v>46076</v>
      </c>
      <c r="M23" s="24"/>
      <c r="N23" s="390"/>
    </row>
    <row r="24" spans="1:20" ht="16.5" customHeight="1" x14ac:dyDescent="0.3">
      <c r="A24" s="352"/>
      <c r="B24" s="215"/>
      <c r="C24" s="109"/>
      <c r="D24" s="29"/>
      <c r="E24" s="28"/>
      <c r="F24" s="139"/>
      <c r="G24" s="119"/>
      <c r="H24" s="268"/>
      <c r="I24" s="33">
        <f t="shared" ref="I24:L24" si="3">(I23-I22+1)/7</f>
        <v>0.7142857142857143</v>
      </c>
      <c r="J24" s="33">
        <f t="shared" si="3"/>
        <v>5.4285714285714288</v>
      </c>
      <c r="K24" s="193">
        <f t="shared" si="3"/>
        <v>2</v>
      </c>
      <c r="L24" s="33">
        <f t="shared" si="3"/>
        <v>5.8571428571428568</v>
      </c>
      <c r="M24" s="35"/>
      <c r="N24" s="391"/>
    </row>
    <row r="25" spans="1:20" ht="16.5" customHeight="1" x14ac:dyDescent="0.3">
      <c r="A25" s="352"/>
      <c r="B25" s="196" t="s">
        <v>145</v>
      </c>
      <c r="C25" s="108"/>
      <c r="D25" s="15"/>
      <c r="E25" s="14">
        <v>3</v>
      </c>
      <c r="F25" s="138">
        <f>C25+D25+E25</f>
        <v>3</v>
      </c>
      <c r="G25" s="117">
        <v>46013</v>
      </c>
      <c r="H25" s="266"/>
      <c r="I25" s="37">
        <v>46013</v>
      </c>
      <c r="J25" s="37">
        <v>46020</v>
      </c>
      <c r="K25" s="37">
        <v>46055</v>
      </c>
      <c r="L25" s="37">
        <v>46084</v>
      </c>
      <c r="M25" s="202">
        <f>(L26-I25+1)/7</f>
        <v>12.428571428571429</v>
      </c>
      <c r="N25" s="357" t="s">
        <v>189</v>
      </c>
      <c r="P25" s="26"/>
      <c r="S25" s="39"/>
    </row>
    <row r="26" spans="1:20" ht="16.5" customHeight="1" x14ac:dyDescent="0.3">
      <c r="A26" s="352"/>
      <c r="B26" s="196"/>
      <c r="C26" s="108"/>
      <c r="D26" s="15"/>
      <c r="E26" s="214"/>
      <c r="F26" s="138"/>
      <c r="G26" s="118"/>
      <c r="H26" s="267"/>
      <c r="I26" s="19">
        <v>46017</v>
      </c>
      <c r="J26" s="19">
        <v>46050</v>
      </c>
      <c r="K26" s="19">
        <v>46082</v>
      </c>
      <c r="L26" s="203">
        <v>46099</v>
      </c>
      <c r="M26" s="204"/>
      <c r="N26" s="355"/>
    </row>
    <row r="27" spans="1:20" ht="16.5" customHeight="1" x14ac:dyDescent="0.3">
      <c r="A27" s="352"/>
      <c r="B27" s="215"/>
      <c r="C27" s="109"/>
      <c r="D27" s="29"/>
      <c r="E27" s="216"/>
      <c r="F27" s="139"/>
      <c r="G27" s="119"/>
      <c r="H27" s="268"/>
      <c r="I27" s="33">
        <f t="shared" ref="I27:L27" si="4">(I26-I25+1)/7</f>
        <v>0.7142857142857143</v>
      </c>
      <c r="J27" s="33">
        <f t="shared" si="4"/>
        <v>4.4285714285714288</v>
      </c>
      <c r="K27" s="193">
        <f t="shared" si="4"/>
        <v>4</v>
      </c>
      <c r="L27" s="205">
        <f t="shared" si="4"/>
        <v>2.2857142857142856</v>
      </c>
      <c r="M27" s="206"/>
      <c r="N27" s="356"/>
    </row>
    <row r="28" spans="1:20" ht="16.5" customHeight="1" x14ac:dyDescent="0.3">
      <c r="A28" s="352"/>
      <c r="B28" s="196" t="s">
        <v>146</v>
      </c>
      <c r="C28" s="108">
        <v>9</v>
      </c>
      <c r="D28" s="15">
        <v>7</v>
      </c>
      <c r="E28" s="197"/>
      <c r="F28" s="138">
        <f>C28+D28+E28</f>
        <v>16</v>
      </c>
      <c r="G28" s="117">
        <v>46013</v>
      </c>
      <c r="H28" s="266"/>
      <c r="I28" s="37">
        <v>46013</v>
      </c>
      <c r="J28" s="37">
        <v>46020</v>
      </c>
      <c r="K28" s="37">
        <v>46055</v>
      </c>
      <c r="L28" s="37">
        <v>46084</v>
      </c>
      <c r="M28" s="202">
        <f>(L29-I28+1)/7</f>
        <v>13.285714285714286</v>
      </c>
      <c r="N28" s="357" t="s">
        <v>189</v>
      </c>
    </row>
    <row r="29" spans="1:20" ht="16.5" customHeight="1" x14ac:dyDescent="0.3">
      <c r="A29" s="352"/>
      <c r="B29" s="196"/>
      <c r="C29" s="108"/>
      <c r="D29" s="15"/>
      <c r="E29" s="214"/>
      <c r="F29" s="138"/>
      <c r="G29" s="118"/>
      <c r="H29" s="267"/>
      <c r="I29" s="19">
        <v>46017</v>
      </c>
      <c r="J29" s="19">
        <v>46050</v>
      </c>
      <c r="K29" s="19">
        <v>46082</v>
      </c>
      <c r="L29" s="203">
        <v>46105</v>
      </c>
      <c r="M29" s="204"/>
      <c r="N29" s="355"/>
    </row>
    <row r="30" spans="1:20" ht="16.5" customHeight="1" x14ac:dyDescent="0.3">
      <c r="A30" s="352"/>
      <c r="B30" s="215"/>
      <c r="C30" s="109"/>
      <c r="D30" s="29"/>
      <c r="E30" s="216"/>
      <c r="F30" s="139"/>
      <c r="G30" s="119"/>
      <c r="H30" s="268"/>
      <c r="I30" s="33">
        <f t="shared" ref="I30:L30" si="5">(I29-I28+1)/7</f>
        <v>0.7142857142857143</v>
      </c>
      <c r="J30" s="33">
        <f t="shared" si="5"/>
        <v>4.4285714285714288</v>
      </c>
      <c r="K30" s="193">
        <f t="shared" si="5"/>
        <v>4</v>
      </c>
      <c r="L30" s="205">
        <f t="shared" si="5"/>
        <v>3.1428571428571428</v>
      </c>
      <c r="M30" s="206"/>
      <c r="N30" s="356"/>
    </row>
    <row r="31" spans="1:20" ht="16.5" customHeight="1" x14ac:dyDescent="0.3">
      <c r="A31" s="352"/>
      <c r="B31" s="13" t="s">
        <v>86</v>
      </c>
      <c r="C31" s="108"/>
      <c r="D31" s="15">
        <v>14</v>
      </c>
      <c r="E31" s="197"/>
      <c r="F31" s="138">
        <f t="shared" ref="F31" si="6">C31+D31+E31</f>
        <v>14</v>
      </c>
      <c r="G31" s="117">
        <v>46041</v>
      </c>
      <c r="H31" s="266"/>
      <c r="I31" s="37">
        <v>46041</v>
      </c>
      <c r="J31" s="37">
        <v>46048</v>
      </c>
      <c r="K31" s="37">
        <v>46083</v>
      </c>
      <c r="L31" s="201">
        <v>46106</v>
      </c>
      <c r="M31" s="202">
        <f>(L32-I31+1)/7</f>
        <v>12</v>
      </c>
      <c r="N31" s="357" t="s">
        <v>188</v>
      </c>
      <c r="P31" s="26"/>
    </row>
    <row r="32" spans="1:20" ht="16.5" customHeight="1" x14ac:dyDescent="0.3">
      <c r="A32" s="352"/>
      <c r="B32" s="13"/>
      <c r="C32" s="108"/>
      <c r="D32" s="15"/>
      <c r="E32" s="214"/>
      <c r="F32" s="138"/>
      <c r="G32" s="118"/>
      <c r="H32" s="267"/>
      <c r="I32" s="19">
        <v>46045</v>
      </c>
      <c r="J32" s="19">
        <v>46081</v>
      </c>
      <c r="K32" s="19">
        <v>46103</v>
      </c>
      <c r="L32" s="203">
        <v>46124</v>
      </c>
      <c r="M32" s="204"/>
      <c r="N32" s="355"/>
    </row>
    <row r="33" spans="1:21" ht="16.5" customHeight="1" x14ac:dyDescent="0.3">
      <c r="A33" s="352"/>
      <c r="B33" s="217"/>
      <c r="C33" s="109"/>
      <c r="D33" s="29"/>
      <c r="E33" s="216"/>
      <c r="F33" s="139"/>
      <c r="G33" s="119"/>
      <c r="H33" s="268"/>
      <c r="I33" s="33">
        <f t="shared" ref="I33:L33" si="7">(I32-I31+1)/7</f>
        <v>0.7142857142857143</v>
      </c>
      <c r="J33" s="33">
        <f t="shared" si="7"/>
        <v>4.8571428571428568</v>
      </c>
      <c r="K33" s="193">
        <f t="shared" si="7"/>
        <v>3</v>
      </c>
      <c r="L33" s="205">
        <f t="shared" si="7"/>
        <v>2.7142857142857144</v>
      </c>
      <c r="M33" s="206"/>
      <c r="N33" s="356"/>
    </row>
    <row r="34" spans="1:21" ht="16.5" customHeight="1" x14ac:dyDescent="0.3">
      <c r="A34" s="352"/>
      <c r="B34" s="13" t="s">
        <v>87</v>
      </c>
      <c r="C34" s="108"/>
      <c r="D34" s="15">
        <v>18</v>
      </c>
      <c r="E34" s="14"/>
      <c r="F34" s="138">
        <f t="shared" ref="F34" si="8">C34+D34+E34</f>
        <v>18</v>
      </c>
      <c r="G34" s="82">
        <v>46062</v>
      </c>
      <c r="H34" s="269"/>
      <c r="I34" s="37">
        <v>46062</v>
      </c>
      <c r="J34" s="201">
        <v>46076</v>
      </c>
      <c r="K34" s="201">
        <v>46111</v>
      </c>
      <c r="L34" s="201">
        <v>46118</v>
      </c>
      <c r="M34" s="202">
        <f>(L35-I34+1)/7</f>
        <v>11.571428571428571</v>
      </c>
      <c r="N34" s="357" t="s">
        <v>190</v>
      </c>
    </row>
    <row r="35" spans="1:21" ht="16.5" customHeight="1" x14ac:dyDescent="0.3">
      <c r="A35" s="352"/>
      <c r="B35" s="13"/>
      <c r="C35" s="108"/>
      <c r="D35" s="15"/>
      <c r="E35" s="14"/>
      <c r="F35" s="138"/>
      <c r="G35" s="16"/>
      <c r="H35" s="270"/>
      <c r="I35" s="19">
        <v>46066</v>
      </c>
      <c r="J35" s="209">
        <v>46108</v>
      </c>
      <c r="K35" s="209">
        <v>46117</v>
      </c>
      <c r="L35" s="203">
        <v>46142</v>
      </c>
      <c r="M35" s="204"/>
      <c r="N35" s="355"/>
    </row>
    <row r="36" spans="1:21" ht="16.5" customHeight="1" x14ac:dyDescent="0.3">
      <c r="A36" s="352"/>
      <c r="B36" s="217"/>
      <c r="C36" s="109"/>
      <c r="D36" s="29"/>
      <c r="E36" s="28"/>
      <c r="F36" s="139"/>
      <c r="G36" s="30"/>
      <c r="H36" s="271"/>
      <c r="I36" s="33">
        <f t="shared" ref="I36:L36" si="9">(I35-I34+1)/7</f>
        <v>0.7142857142857143</v>
      </c>
      <c r="J36" s="205">
        <f t="shared" si="9"/>
        <v>4.7142857142857144</v>
      </c>
      <c r="K36" s="211">
        <f t="shared" si="9"/>
        <v>1</v>
      </c>
      <c r="L36" s="205">
        <f t="shared" si="9"/>
        <v>3.5714285714285716</v>
      </c>
      <c r="M36" s="206"/>
      <c r="N36" s="356"/>
    </row>
    <row r="37" spans="1:21" ht="16.5" customHeight="1" x14ac:dyDescent="0.3">
      <c r="A37" s="352"/>
      <c r="B37" s="13" t="s">
        <v>88</v>
      </c>
      <c r="C37" s="108"/>
      <c r="D37" s="15">
        <v>19</v>
      </c>
      <c r="E37" s="14"/>
      <c r="F37" s="138">
        <f t="shared" ref="F37" si="10">C37+D37+E37</f>
        <v>19</v>
      </c>
      <c r="G37" s="260">
        <v>46104</v>
      </c>
      <c r="H37" s="269"/>
      <c r="I37" s="201">
        <v>46104</v>
      </c>
      <c r="J37" s="201">
        <v>46111</v>
      </c>
      <c r="K37" s="209"/>
      <c r="L37" s="201">
        <v>46148</v>
      </c>
      <c r="M37" s="202">
        <f>(L38-I37+1)/7</f>
        <v>11.714285714285714</v>
      </c>
      <c r="N37" s="365" t="s">
        <v>191</v>
      </c>
      <c r="P37" s="26"/>
    </row>
    <row r="38" spans="1:21" ht="16.5" customHeight="1" x14ac:dyDescent="0.3">
      <c r="A38" s="352"/>
      <c r="B38" s="13"/>
      <c r="C38" s="108"/>
      <c r="D38" s="15"/>
      <c r="E38" s="14"/>
      <c r="F38" s="138"/>
      <c r="G38" s="261"/>
      <c r="H38" s="270"/>
      <c r="I38" s="209">
        <v>46108</v>
      </c>
      <c r="J38" s="209">
        <v>46142</v>
      </c>
      <c r="K38" s="209"/>
      <c r="L38" s="203">
        <v>46185</v>
      </c>
      <c r="M38" s="204"/>
      <c r="N38" s="366"/>
    </row>
    <row r="39" spans="1:21" ht="16.5" customHeight="1" thickBot="1" x14ac:dyDescent="0.35">
      <c r="A39" s="353"/>
      <c r="B39" s="47"/>
      <c r="C39" s="111"/>
      <c r="D39" s="49"/>
      <c r="E39" s="48"/>
      <c r="F39" s="105"/>
      <c r="G39" s="262"/>
      <c r="H39" s="272"/>
      <c r="I39" s="219">
        <f t="shared" ref="I39:J39" si="11">(I38-I37+1)/7</f>
        <v>0.7142857142857143</v>
      </c>
      <c r="J39" s="219">
        <f t="shared" si="11"/>
        <v>4.5714285714285712</v>
      </c>
      <c r="K39" s="211"/>
      <c r="L39" s="219">
        <f t="shared" ref="L39" si="12">(L38-L37+1)/7</f>
        <v>5.4285714285714288</v>
      </c>
      <c r="M39" s="221"/>
      <c r="N39" s="367"/>
      <c r="R39" s="39"/>
    </row>
    <row r="40" spans="1:21" ht="24" customHeight="1" thickBot="1" x14ac:dyDescent="0.35">
      <c r="A40" s="348" t="s">
        <v>10</v>
      </c>
      <c r="B40" s="349"/>
      <c r="C40" s="222">
        <f>SUM(C16:C39)</f>
        <v>9</v>
      </c>
      <c r="D40" s="223">
        <f>SUM(D16:D39)</f>
        <v>74</v>
      </c>
      <c r="E40" s="224">
        <f>SUM(E16:E39)</f>
        <v>16</v>
      </c>
      <c r="F40" s="225">
        <f>SUM(C40:E40)</f>
        <v>99</v>
      </c>
      <c r="G40" s="263"/>
      <c r="H40" s="451" t="s">
        <v>42</v>
      </c>
      <c r="I40" s="451"/>
      <c r="J40" s="451"/>
      <c r="K40" s="451"/>
      <c r="L40" s="452"/>
      <c r="M40" s="226">
        <f>AVERAGE(M16:M39)</f>
        <v>12.821428571428571</v>
      </c>
      <c r="N40" s="227" t="s">
        <v>41</v>
      </c>
      <c r="P40" s="350" t="s">
        <v>43</v>
      </c>
      <c r="Q40" s="350"/>
    </row>
    <row r="41" spans="1:21" ht="15" customHeight="1" x14ac:dyDescent="0.3">
      <c r="A41" s="351" t="s">
        <v>128</v>
      </c>
      <c r="B41" s="63" t="s">
        <v>129</v>
      </c>
      <c r="C41" s="191">
        <v>6</v>
      </c>
      <c r="D41" s="65"/>
      <c r="E41" s="274"/>
      <c r="F41" s="248">
        <f>C41+D41+E41</f>
        <v>6</v>
      </c>
      <c r="G41" s="280">
        <v>46104</v>
      </c>
      <c r="H41" s="258">
        <v>46104</v>
      </c>
      <c r="I41" s="277">
        <v>45788</v>
      </c>
      <c r="J41" s="241">
        <v>46160</v>
      </c>
      <c r="K41" s="241"/>
      <c r="L41" s="241">
        <v>46188</v>
      </c>
      <c r="M41" s="242">
        <f>(L42-H41+1)/7</f>
        <v>16</v>
      </c>
      <c r="N41" s="354" t="s">
        <v>192</v>
      </c>
      <c r="O41" s="71"/>
      <c r="P41" s="5" t="s">
        <v>47</v>
      </c>
      <c r="Q41" s="72" t="e">
        <f>AVERAGE(I43,I46,I49,I52,I55,#REF!,#REF!,#REF!,#REF!,#REF!)</f>
        <v>#REF!</v>
      </c>
      <c r="R41" s="5">
        <v>1</v>
      </c>
      <c r="S41" s="39"/>
    </row>
    <row r="42" spans="1:21" ht="15" customHeight="1" x14ac:dyDescent="0.3">
      <c r="A42" s="352"/>
      <c r="B42" s="13"/>
      <c r="C42" s="108"/>
      <c r="D42" s="15"/>
      <c r="E42" s="275"/>
      <c r="F42" s="138"/>
      <c r="G42" s="16"/>
      <c r="H42" s="258">
        <v>46133</v>
      </c>
      <c r="I42" s="209">
        <v>45792</v>
      </c>
      <c r="J42" s="209">
        <v>46185</v>
      </c>
      <c r="K42" s="209"/>
      <c r="L42" s="203">
        <v>46215</v>
      </c>
      <c r="M42" s="204"/>
      <c r="N42" s="355"/>
      <c r="O42" s="71"/>
      <c r="P42" s="5" t="s">
        <v>48</v>
      </c>
      <c r="Q42" s="72" t="e">
        <f>AVERAGE(J43,J46,J49,J52,J55,#REF!,#REF!,#REF!,#REF!,#REF!)</f>
        <v>#REF!</v>
      </c>
      <c r="R42" s="5">
        <v>6</v>
      </c>
    </row>
    <row r="43" spans="1:21" ht="15" customHeight="1" x14ac:dyDescent="0.3">
      <c r="A43" s="352"/>
      <c r="B43" s="27"/>
      <c r="C43" s="109"/>
      <c r="D43" s="29"/>
      <c r="E43" s="276"/>
      <c r="F43" s="139"/>
      <c r="G43" s="30"/>
      <c r="H43" s="259">
        <f t="shared" ref="H43:I43" si="13">(H42-H41+1)/7</f>
        <v>4.2857142857142856</v>
      </c>
      <c r="I43" s="205">
        <f t="shared" si="13"/>
        <v>0.7142857142857143</v>
      </c>
      <c r="J43" s="205">
        <f>(J42-J41+1)/7</f>
        <v>3.7142857142857144</v>
      </c>
      <c r="K43" s="205"/>
      <c r="L43" s="205">
        <f>(L42-L41+1)/7</f>
        <v>4</v>
      </c>
      <c r="M43" s="206"/>
      <c r="N43" s="356"/>
      <c r="O43" s="71"/>
      <c r="P43" s="5" t="s">
        <v>49</v>
      </c>
      <c r="Q43" s="72" t="e">
        <f>AVERAGE(L43,L46,L49,L52,L55,#REF!,#REF!,#REF!,#REF!,#REF!)</f>
        <v>#REF!</v>
      </c>
      <c r="R43" s="5">
        <v>5</v>
      </c>
      <c r="S43" s="39"/>
    </row>
    <row r="44" spans="1:21" ht="15" customHeight="1" x14ac:dyDescent="0.3">
      <c r="A44" s="352"/>
      <c r="B44" s="13" t="s">
        <v>130</v>
      </c>
      <c r="C44" s="108">
        <v>18</v>
      </c>
      <c r="D44" s="15"/>
      <c r="E44" s="14"/>
      <c r="F44" s="138">
        <f t="shared" ref="F44" si="14">C44+D44+E44</f>
        <v>18</v>
      </c>
      <c r="G44" s="279">
        <v>46133</v>
      </c>
      <c r="H44" s="258">
        <v>46133</v>
      </c>
      <c r="I44" s="230">
        <v>46188</v>
      </c>
      <c r="J44" s="201">
        <v>46195</v>
      </c>
      <c r="K44" s="201"/>
      <c r="L44" s="201">
        <v>46223</v>
      </c>
      <c r="M44" s="204">
        <f>(L45-H44+1)/7</f>
        <v>18.571428571428573</v>
      </c>
      <c r="N44" s="357" t="s">
        <v>193</v>
      </c>
      <c r="Q44" s="76"/>
      <c r="R44" s="39"/>
    </row>
    <row r="45" spans="1:21" ht="15" customHeight="1" x14ac:dyDescent="0.3">
      <c r="A45" s="352"/>
      <c r="B45" s="13"/>
      <c r="C45" s="108"/>
      <c r="D45" s="15"/>
      <c r="E45" s="14"/>
      <c r="F45" s="138"/>
      <c r="G45" s="75"/>
      <c r="H45" s="258">
        <v>46181</v>
      </c>
      <c r="I45" s="209">
        <v>46192</v>
      </c>
      <c r="J45" s="209">
        <v>46224</v>
      </c>
      <c r="K45" s="209"/>
      <c r="L45" s="203">
        <v>46262</v>
      </c>
      <c r="M45" s="204"/>
      <c r="N45" s="355"/>
    </row>
    <row r="46" spans="1:21" ht="15" customHeight="1" x14ac:dyDescent="0.3">
      <c r="A46" s="352"/>
      <c r="B46" s="27"/>
      <c r="C46" s="109"/>
      <c r="D46" s="29"/>
      <c r="E46" s="28"/>
      <c r="F46" s="139"/>
      <c r="G46" s="264"/>
      <c r="H46" s="259">
        <f t="shared" ref="H46:L46" si="15">(H45-H44+1)/7</f>
        <v>7</v>
      </c>
      <c r="I46" s="205">
        <f t="shared" si="15"/>
        <v>0.7142857142857143</v>
      </c>
      <c r="J46" s="205">
        <f t="shared" si="15"/>
        <v>4.2857142857142856</v>
      </c>
      <c r="K46" s="205"/>
      <c r="L46" s="205">
        <f t="shared" si="15"/>
        <v>5.7142857142857144</v>
      </c>
      <c r="M46" s="206"/>
      <c r="N46" s="356"/>
      <c r="Q46" s="39"/>
      <c r="S46" s="39"/>
    </row>
    <row r="47" spans="1:21" ht="15" customHeight="1" x14ac:dyDescent="0.3">
      <c r="A47" s="352"/>
      <c r="B47" s="13" t="s">
        <v>131</v>
      </c>
      <c r="C47" s="108">
        <v>18</v>
      </c>
      <c r="D47" s="15"/>
      <c r="E47" s="14">
        <v>8</v>
      </c>
      <c r="F47" s="138">
        <f t="shared" ref="F47" si="16">C47+D47+E47</f>
        <v>26</v>
      </c>
      <c r="G47" s="279">
        <v>46170</v>
      </c>
      <c r="H47" s="258">
        <v>46170</v>
      </c>
      <c r="I47" s="230">
        <v>46223</v>
      </c>
      <c r="J47" s="201">
        <v>46230</v>
      </c>
      <c r="K47" s="201"/>
      <c r="L47" s="201">
        <v>46260</v>
      </c>
      <c r="M47" s="204">
        <f t="shared" ref="M47" si="17">(L48-H47+1)/7</f>
        <v>19.857142857142858</v>
      </c>
      <c r="N47" s="357" t="s">
        <v>194</v>
      </c>
      <c r="P47" s="39"/>
      <c r="U47" s="39"/>
    </row>
    <row r="48" spans="1:21" ht="15" customHeight="1" x14ac:dyDescent="0.3">
      <c r="A48" s="352"/>
      <c r="B48" s="13"/>
      <c r="C48" s="108"/>
      <c r="D48" s="15"/>
      <c r="E48" s="14"/>
      <c r="F48" s="138"/>
      <c r="G48" s="75"/>
      <c r="H48" s="258">
        <v>46213</v>
      </c>
      <c r="I48" s="209">
        <v>46227</v>
      </c>
      <c r="J48" s="209">
        <v>46262</v>
      </c>
      <c r="K48" s="209"/>
      <c r="L48" s="203">
        <v>46308</v>
      </c>
      <c r="M48" s="204"/>
      <c r="N48" s="355"/>
      <c r="P48" s="77"/>
      <c r="R48" s="77"/>
      <c r="S48" s="77"/>
    </row>
    <row r="49" spans="1:20" ht="15" customHeight="1" x14ac:dyDescent="0.3">
      <c r="A49" s="352"/>
      <c r="B49" s="27"/>
      <c r="C49" s="109"/>
      <c r="D49" s="29"/>
      <c r="E49" s="28"/>
      <c r="F49" s="139"/>
      <c r="G49" s="264"/>
      <c r="H49" s="259">
        <f t="shared" ref="H49:L49" si="18">(H48-H47+1)/7</f>
        <v>6.2857142857142856</v>
      </c>
      <c r="I49" s="205">
        <f t="shared" si="18"/>
        <v>0.7142857142857143</v>
      </c>
      <c r="J49" s="205">
        <f t="shared" si="18"/>
        <v>4.7142857142857144</v>
      </c>
      <c r="K49" s="205"/>
      <c r="L49" s="205">
        <f t="shared" si="18"/>
        <v>7</v>
      </c>
      <c r="M49" s="206"/>
      <c r="N49" s="356"/>
      <c r="P49" s="77">
        <v>11.1</v>
      </c>
      <c r="Q49" s="77">
        <v>15.1</v>
      </c>
      <c r="R49" s="77">
        <f t="shared" ref="R49:R54" si="19">P49-Q49</f>
        <v>-4</v>
      </c>
      <c r="S49" s="77"/>
    </row>
    <row r="50" spans="1:20" ht="15" customHeight="1" x14ac:dyDescent="0.3">
      <c r="A50" s="352"/>
      <c r="B50" s="13" t="s">
        <v>132</v>
      </c>
      <c r="C50" s="108"/>
      <c r="D50" s="283">
        <v>14</v>
      </c>
      <c r="E50" s="14">
        <v>8</v>
      </c>
      <c r="F50" s="138">
        <f t="shared" ref="F50" si="20">C50+D50+E50</f>
        <v>22</v>
      </c>
      <c r="G50" s="279">
        <v>46203</v>
      </c>
      <c r="H50" s="282">
        <v>46204</v>
      </c>
      <c r="I50" s="230">
        <v>46252</v>
      </c>
      <c r="J50" s="201">
        <v>46258</v>
      </c>
      <c r="K50" s="201">
        <v>46300</v>
      </c>
      <c r="L50" s="201">
        <v>46307</v>
      </c>
      <c r="M50" s="204">
        <f>(L51-H50+1)/7</f>
        <v>18.714285714285715</v>
      </c>
      <c r="N50" s="357" t="s">
        <v>195</v>
      </c>
      <c r="P50" s="77">
        <v>10.7</v>
      </c>
      <c r="Q50" s="77">
        <v>15.1</v>
      </c>
      <c r="R50" s="77">
        <f t="shared" si="19"/>
        <v>-4.4000000000000004</v>
      </c>
      <c r="S50" s="77"/>
    </row>
    <row r="51" spans="1:20" ht="15" customHeight="1" x14ac:dyDescent="0.3">
      <c r="A51" s="352"/>
      <c r="B51" s="13"/>
      <c r="C51" s="108"/>
      <c r="D51" s="15"/>
      <c r="E51" s="14"/>
      <c r="F51" s="138"/>
      <c r="G51" s="75"/>
      <c r="H51" s="258">
        <v>46241</v>
      </c>
      <c r="I51" s="209">
        <v>46255</v>
      </c>
      <c r="J51" s="209">
        <v>46297</v>
      </c>
      <c r="K51" s="209">
        <v>46320</v>
      </c>
      <c r="L51" s="203">
        <v>46334</v>
      </c>
      <c r="M51" s="204"/>
      <c r="N51" s="355"/>
      <c r="P51" s="77">
        <v>10.3</v>
      </c>
      <c r="Q51" s="77">
        <v>14.7</v>
      </c>
      <c r="R51" s="77">
        <f t="shared" si="19"/>
        <v>-4.3999999999999986</v>
      </c>
      <c r="S51" s="77"/>
    </row>
    <row r="52" spans="1:20" ht="15" customHeight="1" x14ac:dyDescent="0.3">
      <c r="A52" s="352"/>
      <c r="B52" s="27"/>
      <c r="C52" s="109"/>
      <c r="D52" s="29"/>
      <c r="E52" s="28"/>
      <c r="F52" s="139"/>
      <c r="G52" s="264"/>
      <c r="H52" s="259">
        <f t="shared" ref="H52:L52" si="21">(H51-H50+1)/7</f>
        <v>5.4285714285714288</v>
      </c>
      <c r="I52" s="205">
        <f t="shared" si="21"/>
        <v>0.5714285714285714</v>
      </c>
      <c r="J52" s="205">
        <f t="shared" si="21"/>
        <v>5.7142857142857144</v>
      </c>
      <c r="K52" s="205">
        <f t="shared" si="21"/>
        <v>3</v>
      </c>
      <c r="L52" s="205">
        <f t="shared" si="21"/>
        <v>4</v>
      </c>
      <c r="M52" s="206"/>
      <c r="N52" s="356"/>
      <c r="P52" s="77">
        <v>7.7</v>
      </c>
      <c r="Q52" s="77">
        <v>10.7</v>
      </c>
      <c r="R52" s="77">
        <f t="shared" si="19"/>
        <v>-2.9999999999999991</v>
      </c>
      <c r="S52" s="77"/>
    </row>
    <row r="53" spans="1:20" ht="15" customHeight="1" x14ac:dyDescent="0.3">
      <c r="A53" s="352"/>
      <c r="B53" s="13" t="s">
        <v>133</v>
      </c>
      <c r="C53" s="108"/>
      <c r="D53" s="15">
        <v>14</v>
      </c>
      <c r="E53" s="14">
        <v>8</v>
      </c>
      <c r="F53" s="138">
        <f t="shared" ref="F53" si="22">C53+D53+E53</f>
        <v>22</v>
      </c>
      <c r="G53" s="279">
        <v>46238</v>
      </c>
      <c r="H53" s="258">
        <v>46238</v>
      </c>
      <c r="I53" s="230">
        <v>46293</v>
      </c>
      <c r="J53" s="201">
        <v>46300</v>
      </c>
      <c r="K53" s="201">
        <v>46335</v>
      </c>
      <c r="L53" s="201">
        <v>46335</v>
      </c>
      <c r="M53" s="204">
        <f t="shared" ref="M53" si="23">(L54-H53+1)/7</f>
        <v>16.857142857142858</v>
      </c>
      <c r="N53" s="357" t="s">
        <v>196</v>
      </c>
      <c r="P53" s="77">
        <v>9.6999999999999993</v>
      </c>
      <c r="Q53" s="77">
        <v>9.6999999999999993</v>
      </c>
      <c r="R53" s="77">
        <f t="shared" si="19"/>
        <v>0</v>
      </c>
      <c r="S53" s="77"/>
    </row>
    <row r="54" spans="1:20" ht="15" customHeight="1" x14ac:dyDescent="0.3">
      <c r="A54" s="352"/>
      <c r="B54" s="13"/>
      <c r="C54" s="108"/>
      <c r="D54" s="15"/>
      <c r="E54" s="14"/>
      <c r="F54" s="138"/>
      <c r="G54" s="75"/>
      <c r="H54" s="258">
        <v>46276</v>
      </c>
      <c r="I54" s="209">
        <v>46297</v>
      </c>
      <c r="J54" s="209">
        <v>46332</v>
      </c>
      <c r="K54" s="209">
        <v>46341</v>
      </c>
      <c r="L54" s="203">
        <v>46355</v>
      </c>
      <c r="M54" s="204"/>
      <c r="N54" s="355"/>
      <c r="P54" s="77">
        <v>9.6</v>
      </c>
      <c r="Q54" s="77">
        <v>9.6</v>
      </c>
      <c r="R54" s="77">
        <f t="shared" si="19"/>
        <v>0</v>
      </c>
      <c r="S54" s="77"/>
      <c r="T54" s="72"/>
    </row>
    <row r="55" spans="1:20" ht="15" customHeight="1" x14ac:dyDescent="0.3">
      <c r="A55" s="352"/>
      <c r="B55" s="27"/>
      <c r="C55" s="109"/>
      <c r="D55" s="29"/>
      <c r="E55" s="28"/>
      <c r="F55" s="139"/>
      <c r="G55" s="264"/>
      <c r="H55" s="259">
        <f t="shared" ref="H55:L55" si="24">(H54-H53+1)/7</f>
        <v>5.5714285714285712</v>
      </c>
      <c r="I55" s="205">
        <f t="shared" si="24"/>
        <v>0.7142857142857143</v>
      </c>
      <c r="J55" s="205">
        <f t="shared" si="24"/>
        <v>4.7142857142857144</v>
      </c>
      <c r="K55" s="205">
        <f t="shared" si="24"/>
        <v>1</v>
      </c>
      <c r="L55" s="205">
        <f t="shared" si="24"/>
        <v>3</v>
      </c>
      <c r="M55" s="206"/>
      <c r="N55" s="356"/>
      <c r="P55" s="77"/>
      <c r="Q55" s="77"/>
      <c r="R55" s="77"/>
      <c r="S55" s="77"/>
    </row>
    <row r="56" spans="1:20" ht="15" customHeight="1" x14ac:dyDescent="0.3">
      <c r="A56" s="352"/>
      <c r="B56" s="13" t="s">
        <v>134</v>
      </c>
      <c r="C56" s="108">
        <v>6</v>
      </c>
      <c r="D56" s="15"/>
      <c r="E56" s="14">
        <v>8</v>
      </c>
      <c r="F56" s="138">
        <f>C56+D56+E56</f>
        <v>14</v>
      </c>
      <c r="G56" s="279">
        <v>46315</v>
      </c>
      <c r="H56" s="258">
        <v>46315</v>
      </c>
      <c r="I56" s="230">
        <v>46363</v>
      </c>
      <c r="J56" s="201">
        <v>46370</v>
      </c>
      <c r="K56" s="228"/>
      <c r="L56" s="228"/>
      <c r="M56" s="231"/>
      <c r="N56" s="358"/>
      <c r="P56" s="77"/>
      <c r="Q56" s="77"/>
      <c r="R56" s="77"/>
      <c r="S56" s="77"/>
    </row>
    <row r="57" spans="1:20" ht="15" customHeight="1" x14ac:dyDescent="0.3">
      <c r="A57" s="352"/>
      <c r="B57" s="13"/>
      <c r="C57" s="108"/>
      <c r="D57" s="15"/>
      <c r="E57" s="14"/>
      <c r="F57" s="138"/>
      <c r="G57" s="75"/>
      <c r="H57" s="258">
        <v>46353</v>
      </c>
      <c r="I57" s="209">
        <v>46367</v>
      </c>
      <c r="J57" s="229"/>
      <c r="K57" s="229"/>
      <c r="L57" s="230"/>
      <c r="M57" s="231"/>
      <c r="N57" s="359"/>
      <c r="P57" s="77"/>
      <c r="Q57" s="77"/>
      <c r="R57" s="77"/>
      <c r="S57" s="77"/>
    </row>
    <row r="58" spans="1:20" ht="15" customHeight="1" x14ac:dyDescent="0.3">
      <c r="A58" s="352"/>
      <c r="B58" s="27"/>
      <c r="C58" s="109"/>
      <c r="D58" s="29"/>
      <c r="E58" s="28"/>
      <c r="F58" s="139"/>
      <c r="G58" s="264"/>
      <c r="H58" s="259">
        <f t="shared" ref="H58:I58" si="25">(H57-H56+1)/7</f>
        <v>5.5714285714285712</v>
      </c>
      <c r="I58" s="205">
        <f t="shared" si="25"/>
        <v>0.7142857142857143</v>
      </c>
      <c r="J58" s="233"/>
      <c r="K58" s="232"/>
      <c r="L58" s="233"/>
      <c r="M58" s="234"/>
      <c r="N58" s="360"/>
      <c r="P58" s="77"/>
      <c r="Q58" s="77"/>
      <c r="R58" s="77"/>
      <c r="S58" s="77"/>
    </row>
    <row r="59" spans="1:20" ht="15" customHeight="1" x14ac:dyDescent="0.3">
      <c r="A59" s="352"/>
      <c r="B59" s="13" t="s">
        <v>135</v>
      </c>
      <c r="C59" s="108"/>
      <c r="D59" s="15">
        <v>14</v>
      </c>
      <c r="E59" s="14">
        <v>8</v>
      </c>
      <c r="F59" s="138">
        <f>C59+D59+E59</f>
        <v>22</v>
      </c>
      <c r="G59" s="279">
        <v>46350</v>
      </c>
      <c r="H59" s="258">
        <v>46350</v>
      </c>
      <c r="I59" s="229"/>
      <c r="J59" s="228"/>
      <c r="K59" s="228"/>
      <c r="L59" s="228"/>
      <c r="M59" s="231"/>
      <c r="N59" s="361"/>
      <c r="P59" s="77"/>
      <c r="Q59" s="77"/>
      <c r="R59" s="77"/>
      <c r="S59" s="77"/>
    </row>
    <row r="60" spans="1:20" ht="15" customHeight="1" x14ac:dyDescent="0.3">
      <c r="A60" s="352"/>
      <c r="B60" s="13"/>
      <c r="C60" s="108"/>
      <c r="D60" s="15"/>
      <c r="E60" s="14"/>
      <c r="F60" s="138"/>
      <c r="G60" s="75"/>
      <c r="H60" s="258">
        <v>46387</v>
      </c>
      <c r="I60" s="229"/>
      <c r="J60" s="229"/>
      <c r="K60" s="229"/>
      <c r="L60" s="230"/>
      <c r="M60" s="231"/>
      <c r="N60" s="362"/>
      <c r="P60" s="77"/>
      <c r="Q60" s="77"/>
      <c r="R60" s="77"/>
      <c r="S60" s="77"/>
    </row>
    <row r="61" spans="1:20" ht="15" customHeight="1" x14ac:dyDescent="0.3">
      <c r="A61" s="352"/>
      <c r="B61" s="27"/>
      <c r="C61" s="109"/>
      <c r="D61" s="29"/>
      <c r="E61" s="28"/>
      <c r="F61" s="139"/>
      <c r="G61" s="264"/>
      <c r="H61" s="259">
        <f t="shared" ref="H61" si="26">(H60-H59+1)/7</f>
        <v>5.4285714285714288</v>
      </c>
      <c r="I61" s="233"/>
      <c r="J61" s="233"/>
      <c r="K61" s="232"/>
      <c r="L61" s="233"/>
      <c r="M61" s="234"/>
      <c r="N61" s="363"/>
      <c r="P61" s="77"/>
      <c r="Q61" s="77"/>
      <c r="R61" s="77"/>
      <c r="S61" s="77"/>
    </row>
    <row r="62" spans="1:20" ht="15" customHeight="1" x14ac:dyDescent="0.3">
      <c r="A62" s="352"/>
      <c r="B62" s="13" t="s">
        <v>136</v>
      </c>
      <c r="C62" s="108">
        <v>1</v>
      </c>
      <c r="D62" s="15">
        <v>13</v>
      </c>
      <c r="E62" s="14">
        <v>8</v>
      </c>
      <c r="F62" s="138">
        <f t="shared" ref="F62" si="27">C62+D62+E62</f>
        <v>22</v>
      </c>
      <c r="G62" s="279">
        <v>46385</v>
      </c>
      <c r="H62" s="258">
        <v>46385</v>
      </c>
      <c r="I62" s="229"/>
      <c r="J62" s="228"/>
      <c r="K62" s="228"/>
      <c r="L62" s="228"/>
      <c r="M62" s="231"/>
      <c r="N62" s="361"/>
      <c r="P62" s="77"/>
      <c r="Q62" s="77"/>
      <c r="R62" s="77"/>
      <c r="S62" s="77"/>
    </row>
    <row r="63" spans="1:20" ht="15" customHeight="1" x14ac:dyDescent="0.3">
      <c r="A63" s="352"/>
      <c r="B63" s="13"/>
      <c r="C63" s="108"/>
      <c r="D63" s="15"/>
      <c r="E63" s="14"/>
      <c r="F63" s="138"/>
      <c r="G63" s="75"/>
      <c r="H63" s="258">
        <v>46423</v>
      </c>
      <c r="I63" s="229"/>
      <c r="J63" s="229"/>
      <c r="K63" s="229"/>
      <c r="L63" s="230"/>
      <c r="M63" s="231"/>
      <c r="N63" s="362"/>
      <c r="P63" s="77"/>
      <c r="Q63" s="77"/>
      <c r="R63" s="77"/>
      <c r="S63" s="77"/>
    </row>
    <row r="64" spans="1:20" ht="15" customHeight="1" x14ac:dyDescent="0.3">
      <c r="A64" s="352"/>
      <c r="B64" s="27"/>
      <c r="C64" s="109"/>
      <c r="D64" s="29"/>
      <c r="E64" s="28"/>
      <c r="F64" s="139"/>
      <c r="G64" s="264"/>
      <c r="H64" s="259">
        <f t="shared" ref="H64" si="28">(H63-H62+1)/7</f>
        <v>5.5714285714285712</v>
      </c>
      <c r="I64" s="233"/>
      <c r="J64" s="233"/>
      <c r="K64" s="232"/>
      <c r="L64" s="233"/>
      <c r="M64" s="234"/>
      <c r="N64" s="363"/>
      <c r="P64" s="77"/>
      <c r="Q64" s="77"/>
      <c r="R64" s="77"/>
      <c r="S64" s="77"/>
    </row>
    <row r="65" spans="1:19" ht="15" customHeight="1" x14ac:dyDescent="0.3">
      <c r="A65" s="352"/>
      <c r="B65" s="13" t="s">
        <v>137</v>
      </c>
      <c r="C65" s="108"/>
      <c r="D65" s="15">
        <v>10</v>
      </c>
      <c r="E65" s="14">
        <v>8</v>
      </c>
      <c r="F65" s="138">
        <f t="shared" ref="F65" si="29">C65+D65+E65</f>
        <v>18</v>
      </c>
      <c r="G65" s="279">
        <v>46420</v>
      </c>
      <c r="H65" s="258">
        <v>46420</v>
      </c>
      <c r="I65" s="229"/>
      <c r="J65" s="228"/>
      <c r="K65" s="228"/>
      <c r="L65" s="228"/>
      <c r="M65" s="231"/>
      <c r="N65" s="361"/>
      <c r="P65" s="77"/>
      <c r="Q65" s="77"/>
      <c r="R65" s="77"/>
      <c r="S65" s="77"/>
    </row>
    <row r="66" spans="1:19" ht="15" customHeight="1" x14ac:dyDescent="0.3">
      <c r="A66" s="352"/>
      <c r="B66" s="13"/>
      <c r="C66" s="108"/>
      <c r="D66" s="15"/>
      <c r="E66" s="14"/>
      <c r="F66" s="138"/>
      <c r="G66" s="16"/>
      <c r="H66" s="258">
        <v>46458</v>
      </c>
      <c r="I66" s="229"/>
      <c r="J66" s="229"/>
      <c r="K66" s="229"/>
      <c r="L66" s="230"/>
      <c r="M66" s="231"/>
      <c r="N66" s="362"/>
      <c r="P66" s="77"/>
      <c r="Q66" s="77"/>
      <c r="R66" s="77"/>
      <c r="S66" s="77"/>
    </row>
    <row r="67" spans="1:19" ht="15" customHeight="1" thickBot="1" x14ac:dyDescent="0.35">
      <c r="A67" s="353"/>
      <c r="B67" s="47"/>
      <c r="C67" s="111"/>
      <c r="D67" s="49"/>
      <c r="E67" s="48"/>
      <c r="F67" s="105"/>
      <c r="G67" s="50"/>
      <c r="H67" s="265">
        <f t="shared" ref="H67" si="30">(H66-H65+1)/7</f>
        <v>5.5714285714285712</v>
      </c>
      <c r="I67" s="236"/>
      <c r="J67" s="236"/>
      <c r="K67" s="235"/>
      <c r="L67" s="236"/>
      <c r="M67" s="237"/>
      <c r="N67" s="364"/>
      <c r="P67" s="77"/>
      <c r="Q67" s="77"/>
      <c r="R67" s="77"/>
      <c r="S67" s="77"/>
    </row>
    <row r="68" spans="1:19" ht="24" customHeight="1" thickBot="1" x14ac:dyDescent="0.35">
      <c r="A68" s="343" t="s">
        <v>10</v>
      </c>
      <c r="B68" s="344"/>
      <c r="C68" s="200">
        <f>SUM(C41:C67)</f>
        <v>49</v>
      </c>
      <c r="D68" s="58">
        <f>SUM(D41:D67)</f>
        <v>65</v>
      </c>
      <c r="E68" s="56">
        <f>SUM(E41:E67)</f>
        <v>56</v>
      </c>
      <c r="F68" s="140">
        <f>SUM(C68:E68)</f>
        <v>170</v>
      </c>
      <c r="G68" s="273" t="s">
        <v>183</v>
      </c>
      <c r="H68" s="453" t="s">
        <v>42</v>
      </c>
      <c r="I68" s="454"/>
      <c r="J68" s="454"/>
      <c r="K68" s="454"/>
      <c r="L68" s="455"/>
      <c r="M68" s="61">
        <f>AVERAGE(M41:M67)</f>
        <v>18</v>
      </c>
      <c r="N68" s="62" t="s">
        <v>41</v>
      </c>
    </row>
    <row r="69" spans="1:19" ht="24" customHeight="1" thickBot="1" x14ac:dyDescent="0.35">
      <c r="A69" s="345" t="s">
        <v>69</v>
      </c>
      <c r="B69" s="346"/>
      <c r="C69" s="112">
        <f>C40+C68</f>
        <v>58</v>
      </c>
      <c r="D69" s="114">
        <f>D40+D68</f>
        <v>139</v>
      </c>
      <c r="E69" s="57">
        <f>E40+E68</f>
        <v>72</v>
      </c>
      <c r="F69" s="140">
        <f>SUM(C69:E69)</f>
        <v>269</v>
      </c>
      <c r="G69" s="273" t="s">
        <v>183</v>
      </c>
      <c r="H69" s="456" t="s">
        <v>70</v>
      </c>
      <c r="I69" s="457"/>
      <c r="J69" s="457"/>
      <c r="K69" s="457"/>
      <c r="L69" s="458"/>
      <c r="M69" s="61">
        <f>AVERAGE(M40,M68)</f>
        <v>15.410714285714285</v>
      </c>
      <c r="N69" s="62" t="s">
        <v>41</v>
      </c>
    </row>
    <row r="70" spans="1:19" ht="45.75" customHeight="1" x14ac:dyDescent="0.3">
      <c r="A70" s="347" t="s">
        <v>184</v>
      </c>
      <c r="B70" s="347"/>
      <c r="C70" s="347"/>
      <c r="D70" s="347"/>
      <c r="E70" s="347"/>
      <c r="F70" s="347"/>
      <c r="G70" s="347"/>
      <c r="H70" s="347"/>
      <c r="I70" s="347"/>
      <c r="J70" s="347"/>
      <c r="K70" s="347"/>
      <c r="L70" s="347"/>
      <c r="M70" s="347"/>
      <c r="N70" s="347"/>
    </row>
    <row r="71" spans="1:19" ht="17.25" x14ac:dyDescent="0.3">
      <c r="A71" s="194"/>
      <c r="I71" s="39"/>
    </row>
    <row r="72" spans="1:19" x14ac:dyDescent="0.3">
      <c r="D72" s="39">
        <f>C68+D68</f>
        <v>114</v>
      </c>
      <c r="H72" s="39"/>
      <c r="I72" s="39"/>
    </row>
    <row r="73" spans="1:19" x14ac:dyDescent="0.3">
      <c r="C73" s="39"/>
      <c r="D73" s="39"/>
      <c r="H73" s="39"/>
    </row>
  </sheetData>
  <mergeCells count="60">
    <mergeCell ref="A70:N70"/>
    <mergeCell ref="N59:N61"/>
    <mergeCell ref="N62:N64"/>
    <mergeCell ref="N65:N67"/>
    <mergeCell ref="A68:B68"/>
    <mergeCell ref="H68:L68"/>
    <mergeCell ref="A69:B69"/>
    <mergeCell ref="H69:L69"/>
    <mergeCell ref="A40:B40"/>
    <mergeCell ref="H40:L40"/>
    <mergeCell ref="P40:Q40"/>
    <mergeCell ref="A41:A67"/>
    <mergeCell ref="N41:N43"/>
    <mergeCell ref="N44:N46"/>
    <mergeCell ref="N47:N49"/>
    <mergeCell ref="N50:N52"/>
    <mergeCell ref="N53:N55"/>
    <mergeCell ref="N56:N58"/>
    <mergeCell ref="A16:A39"/>
    <mergeCell ref="N16:N18"/>
    <mergeCell ref="N19:N21"/>
    <mergeCell ref="N22:N24"/>
    <mergeCell ref="N25:N27"/>
    <mergeCell ref="N28:N30"/>
    <mergeCell ref="N31:N33"/>
    <mergeCell ref="N34:N36"/>
    <mergeCell ref="N37:N39"/>
    <mergeCell ref="N12:N15"/>
    <mergeCell ref="C13:D14"/>
    <mergeCell ref="E13:E14"/>
    <mergeCell ref="G13:M13"/>
    <mergeCell ref="G14:G15"/>
    <mergeCell ref="I14:L14"/>
    <mergeCell ref="M14:M15"/>
    <mergeCell ref="A9:B9"/>
    <mergeCell ref="C9:F9"/>
    <mergeCell ref="G9:H9"/>
    <mergeCell ref="I9:N9"/>
    <mergeCell ref="A11:B11"/>
    <mergeCell ref="A12:A15"/>
    <mergeCell ref="B12:B15"/>
    <mergeCell ref="C12:E12"/>
    <mergeCell ref="F12:F15"/>
    <mergeCell ref="G12:M12"/>
    <mergeCell ref="A6:B6"/>
    <mergeCell ref="C6:F6"/>
    <mergeCell ref="G6:H6"/>
    <mergeCell ref="I6:N8"/>
    <mergeCell ref="A7:B7"/>
    <mergeCell ref="C7:F7"/>
    <mergeCell ref="G7:H7"/>
    <mergeCell ref="A8:B8"/>
    <mergeCell ref="C8:F8"/>
    <mergeCell ref="G8:H8"/>
    <mergeCell ref="A2:N2"/>
    <mergeCell ref="A4:B4"/>
    <mergeCell ref="A5:B5"/>
    <mergeCell ref="C5:F5"/>
    <mergeCell ref="G5:H5"/>
    <mergeCell ref="I5:N5"/>
  </mergeCells>
  <phoneticPr fontId="2" type="noConversion"/>
  <printOptions horizontalCentered="1"/>
  <pageMargins left="0.31496062992125984" right="0.31496062992125984" top="0.74803149606299213" bottom="0.39370078740157483" header="0.31496062992125984" footer="0.31496062992125984"/>
  <pageSetup paperSize="9" scale="5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26AA0-1A6C-4B9A-9643-86FE58B8B61B}">
  <sheetPr>
    <pageSetUpPr fitToPage="1"/>
  </sheetPr>
  <dimension ref="A1:U73"/>
  <sheetViews>
    <sheetView showGridLines="0" workbookViewId="0">
      <selection activeCell="H19" sqref="H19"/>
    </sheetView>
  </sheetViews>
  <sheetFormatPr defaultColWidth="9" defaultRowHeight="16.5" x14ac:dyDescent="0.3"/>
  <cols>
    <col min="1" max="1" width="10.5" style="5" customWidth="1"/>
    <col min="2" max="2" width="13" style="5" customWidth="1"/>
    <col min="3" max="6" width="6.375" style="5" customWidth="1"/>
    <col min="7" max="7" width="13.125" style="5" customWidth="1"/>
    <col min="8" max="12" width="11.625" style="5" customWidth="1"/>
    <col min="13" max="13" width="10.125" style="5" customWidth="1"/>
    <col min="14" max="14" width="18" style="100" customWidth="1"/>
    <col min="15" max="15" width="5.625" style="5" customWidth="1"/>
    <col min="16" max="16" width="15.625" style="5" hidden="1" customWidth="1"/>
    <col min="17" max="18" width="11.75" style="5" hidden="1" customWidth="1"/>
    <col min="19" max="24" width="8.75" style="5" customWidth="1"/>
    <col min="25" max="16384" width="9" style="5"/>
  </cols>
  <sheetData>
    <row r="1" spans="1:19" ht="20.25" x14ac:dyDescent="0.3">
      <c r="A1" s="254" t="s">
        <v>177</v>
      </c>
    </row>
    <row r="2" spans="1:19" s="1" customFormat="1" ht="39" customHeight="1" x14ac:dyDescent="0.3">
      <c r="A2" s="417" t="s">
        <v>126</v>
      </c>
      <c r="B2" s="417"/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</row>
    <row r="3" spans="1:19" ht="22.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4">
        <v>46092</v>
      </c>
    </row>
    <row r="4" spans="1:19" ht="24" customHeight="1" x14ac:dyDescent="0.3">
      <c r="A4" s="418" t="s">
        <v>0</v>
      </c>
      <c r="B4" s="419"/>
      <c r="C4" s="2"/>
      <c r="D4" s="2"/>
      <c r="E4" s="2"/>
      <c r="F4" s="2"/>
      <c r="G4" s="2"/>
      <c r="H4" s="6"/>
      <c r="I4" s="6"/>
      <c r="J4" s="6"/>
      <c r="K4" s="6"/>
      <c r="L4" s="6"/>
      <c r="M4" s="6"/>
      <c r="N4" s="7"/>
    </row>
    <row r="5" spans="1:19" ht="35.25" customHeight="1" thickBot="1" x14ac:dyDescent="0.35">
      <c r="A5" s="420" t="s">
        <v>1</v>
      </c>
      <c r="B5" s="421"/>
      <c r="C5" s="422" t="s">
        <v>186</v>
      </c>
      <c r="D5" s="423"/>
      <c r="E5" s="424"/>
      <c r="F5" s="420"/>
      <c r="G5" s="422" t="s">
        <v>95</v>
      </c>
      <c r="H5" s="425"/>
      <c r="I5" s="426" t="s">
        <v>5</v>
      </c>
      <c r="J5" s="424"/>
      <c r="K5" s="424"/>
      <c r="L5" s="424"/>
      <c r="M5" s="424"/>
      <c r="N5" s="424"/>
    </row>
    <row r="6" spans="1:19" ht="24" customHeight="1" x14ac:dyDescent="0.3">
      <c r="A6" s="427" t="s">
        <v>9</v>
      </c>
      <c r="B6" s="428"/>
      <c r="C6" s="429">
        <f>F40</f>
        <v>99</v>
      </c>
      <c r="D6" s="430"/>
      <c r="E6" s="430"/>
      <c r="F6" s="431"/>
      <c r="G6" s="432"/>
      <c r="H6" s="433"/>
      <c r="I6" s="434" t="s">
        <v>185</v>
      </c>
      <c r="J6" s="435"/>
      <c r="K6" s="435"/>
      <c r="L6" s="435"/>
      <c r="M6" s="435"/>
      <c r="N6" s="435"/>
    </row>
    <row r="7" spans="1:19" ht="24" customHeight="1" x14ac:dyDescent="0.3">
      <c r="A7" s="440" t="s">
        <v>73</v>
      </c>
      <c r="B7" s="441"/>
      <c r="C7" s="442">
        <f>SUM(F41:F64)</f>
        <v>160</v>
      </c>
      <c r="D7" s="443"/>
      <c r="E7" s="443"/>
      <c r="F7" s="444"/>
      <c r="G7" s="442"/>
      <c r="H7" s="444"/>
      <c r="I7" s="436"/>
      <c r="J7" s="437"/>
      <c r="K7" s="437"/>
      <c r="L7" s="437"/>
      <c r="M7" s="437"/>
      <c r="N7" s="437"/>
    </row>
    <row r="8" spans="1:19" ht="24" customHeight="1" thickBot="1" x14ac:dyDescent="0.35">
      <c r="A8" s="445" t="s">
        <v>127</v>
      </c>
      <c r="B8" s="446"/>
      <c r="C8" s="392"/>
      <c r="D8" s="447"/>
      <c r="E8" s="447"/>
      <c r="F8" s="393"/>
      <c r="G8" s="392">
        <f>SUM(F56:F67)</f>
        <v>76</v>
      </c>
      <c r="H8" s="393"/>
      <c r="I8" s="438"/>
      <c r="J8" s="439"/>
      <c r="K8" s="439"/>
      <c r="L8" s="439"/>
      <c r="M8" s="439"/>
      <c r="N8" s="439"/>
    </row>
    <row r="9" spans="1:19" ht="24" customHeight="1" x14ac:dyDescent="0.3">
      <c r="A9" s="407" t="s">
        <v>10</v>
      </c>
      <c r="B9" s="408"/>
      <c r="C9" s="409">
        <f>SUM(C6:F8)</f>
        <v>259</v>
      </c>
      <c r="D9" s="410"/>
      <c r="E9" s="410"/>
      <c r="F9" s="411"/>
      <c r="G9" s="412">
        <f>G8</f>
        <v>76</v>
      </c>
      <c r="H9" s="413"/>
      <c r="I9" s="412"/>
      <c r="J9" s="414"/>
      <c r="K9" s="414"/>
      <c r="L9" s="414"/>
      <c r="M9" s="414"/>
      <c r="N9" s="414"/>
    </row>
    <row r="10" spans="1:19" ht="12" customHeight="1" x14ac:dyDescent="0.3">
      <c r="A10" s="8"/>
      <c r="B10" s="8"/>
      <c r="C10" s="8"/>
      <c r="D10" s="8"/>
      <c r="E10" s="125"/>
      <c r="F10" s="8"/>
      <c r="G10" s="8"/>
      <c r="H10" s="125"/>
      <c r="I10" s="8"/>
      <c r="J10" s="8"/>
      <c r="K10" s="8"/>
      <c r="L10" s="8"/>
      <c r="M10" s="8"/>
      <c r="N10" s="8"/>
      <c r="S10" s="39"/>
    </row>
    <row r="11" spans="1:19" ht="29.25" customHeight="1" thickBot="1" x14ac:dyDescent="0.35">
      <c r="A11" s="415" t="s">
        <v>11</v>
      </c>
      <c r="B11" s="416"/>
      <c r="C11" s="8"/>
      <c r="D11" s="8"/>
      <c r="E11" s="8"/>
      <c r="F11" s="8"/>
      <c r="G11" s="8"/>
      <c r="H11" s="195"/>
      <c r="I11" s="195"/>
      <c r="J11" s="195"/>
      <c r="K11" s="195"/>
      <c r="L11" s="195"/>
      <c r="M11" s="195"/>
      <c r="N11" s="195"/>
    </row>
    <row r="12" spans="1:19" ht="27.75" customHeight="1" x14ac:dyDescent="0.3">
      <c r="A12" s="394" t="s">
        <v>12</v>
      </c>
      <c r="B12" s="397" t="s">
        <v>13</v>
      </c>
      <c r="C12" s="399" t="s">
        <v>14</v>
      </c>
      <c r="D12" s="399"/>
      <c r="E12" s="400"/>
      <c r="F12" s="401" t="s">
        <v>15</v>
      </c>
      <c r="G12" s="404" t="s">
        <v>18</v>
      </c>
      <c r="H12" s="405"/>
      <c r="I12" s="405"/>
      <c r="J12" s="405"/>
      <c r="K12" s="405"/>
      <c r="L12" s="405"/>
      <c r="M12" s="406"/>
      <c r="N12" s="368" t="s">
        <v>162</v>
      </c>
    </row>
    <row r="13" spans="1:19" ht="22.5" customHeight="1" x14ac:dyDescent="0.3">
      <c r="A13" s="395"/>
      <c r="B13" s="398"/>
      <c r="C13" s="371" t="s">
        <v>96</v>
      </c>
      <c r="D13" s="372"/>
      <c r="E13" s="375" t="s">
        <v>139</v>
      </c>
      <c r="F13" s="402"/>
      <c r="G13" s="377" t="s">
        <v>197</v>
      </c>
      <c r="H13" s="378"/>
      <c r="I13" s="378"/>
      <c r="J13" s="378"/>
      <c r="K13" s="378"/>
      <c r="L13" s="378"/>
      <c r="M13" s="379"/>
      <c r="N13" s="369"/>
    </row>
    <row r="14" spans="1:19" ht="22.5" customHeight="1" x14ac:dyDescent="0.3">
      <c r="A14" s="395"/>
      <c r="B14" s="398"/>
      <c r="C14" s="373"/>
      <c r="D14" s="374"/>
      <c r="E14" s="376"/>
      <c r="F14" s="402"/>
      <c r="G14" s="380" t="s">
        <v>178</v>
      </c>
      <c r="H14" s="256" t="s">
        <v>180</v>
      </c>
      <c r="I14" s="448" t="s">
        <v>179</v>
      </c>
      <c r="J14" s="382"/>
      <c r="K14" s="382"/>
      <c r="L14" s="449"/>
      <c r="M14" s="450" t="s">
        <v>27</v>
      </c>
      <c r="N14" s="369"/>
    </row>
    <row r="15" spans="1:19" ht="34.5" customHeight="1" thickBot="1" x14ac:dyDescent="0.35">
      <c r="A15" s="396"/>
      <c r="B15" s="385"/>
      <c r="C15" s="257" t="s">
        <v>98</v>
      </c>
      <c r="D15" s="104" t="s">
        <v>99</v>
      </c>
      <c r="E15" s="104" t="s">
        <v>98</v>
      </c>
      <c r="F15" s="403"/>
      <c r="G15" s="381"/>
      <c r="H15" s="255" t="s">
        <v>181</v>
      </c>
      <c r="I15" s="281" t="s">
        <v>24</v>
      </c>
      <c r="J15" s="10" t="s">
        <v>25</v>
      </c>
      <c r="K15" s="10" t="s">
        <v>111</v>
      </c>
      <c r="L15" s="11" t="s">
        <v>26</v>
      </c>
      <c r="M15" s="403"/>
      <c r="N15" s="370"/>
    </row>
    <row r="16" spans="1:19" ht="16.5" customHeight="1" x14ac:dyDescent="0.3">
      <c r="A16" s="351" t="s">
        <v>74</v>
      </c>
      <c r="B16" s="196" t="s">
        <v>142</v>
      </c>
      <c r="C16" s="108"/>
      <c r="D16" s="15"/>
      <c r="E16" s="14">
        <v>7</v>
      </c>
      <c r="F16" s="138">
        <f t="shared" ref="F16" si="0">C16+D16+E16</f>
        <v>7</v>
      </c>
      <c r="G16" s="117">
        <v>45929</v>
      </c>
      <c r="H16" s="266"/>
      <c r="I16" s="19">
        <v>45929</v>
      </c>
      <c r="J16" s="37">
        <v>45944</v>
      </c>
      <c r="K16" s="37">
        <v>45978</v>
      </c>
      <c r="L16" s="37">
        <v>46010</v>
      </c>
      <c r="M16" s="21">
        <f>(L17-I16+1)/7</f>
        <v>14.714285714285714</v>
      </c>
      <c r="N16" s="386" t="s">
        <v>168</v>
      </c>
    </row>
    <row r="17" spans="1:20" ht="16.5" customHeight="1" x14ac:dyDescent="0.3">
      <c r="A17" s="352"/>
      <c r="B17" s="196"/>
      <c r="C17" s="108"/>
      <c r="D17" s="15"/>
      <c r="E17" s="14"/>
      <c r="F17" s="138"/>
      <c r="G17" s="118"/>
      <c r="H17" s="267"/>
      <c r="I17" s="19">
        <v>45932</v>
      </c>
      <c r="J17" s="19">
        <v>45980</v>
      </c>
      <c r="K17" s="19">
        <v>46009</v>
      </c>
      <c r="L17" s="120">
        <v>46031</v>
      </c>
      <c r="M17" s="24"/>
      <c r="N17" s="387"/>
    </row>
    <row r="18" spans="1:20" ht="16.5" customHeight="1" x14ac:dyDescent="0.3">
      <c r="A18" s="352"/>
      <c r="B18" s="198"/>
      <c r="C18" s="109"/>
      <c r="D18" s="29"/>
      <c r="E18" s="28"/>
      <c r="F18" s="139"/>
      <c r="G18" s="119"/>
      <c r="H18" s="268"/>
      <c r="I18" s="33">
        <f t="shared" ref="I18:L18" si="1">(I17-I16+1)/7</f>
        <v>0.5714285714285714</v>
      </c>
      <c r="J18" s="33">
        <f t="shared" si="1"/>
        <v>5.2857142857142856</v>
      </c>
      <c r="K18" s="33">
        <f t="shared" si="1"/>
        <v>4.5714285714285712</v>
      </c>
      <c r="L18" s="33">
        <f t="shared" si="1"/>
        <v>3.1428571428571428</v>
      </c>
      <c r="M18" s="35"/>
      <c r="N18" s="388"/>
    </row>
    <row r="19" spans="1:20" ht="16.5" customHeight="1" x14ac:dyDescent="0.3">
      <c r="A19" s="352"/>
      <c r="B19" s="212" t="s">
        <v>143</v>
      </c>
      <c r="C19" s="110"/>
      <c r="D19" s="43"/>
      <c r="E19" s="42">
        <v>6</v>
      </c>
      <c r="F19" s="138">
        <f>C19+D19+E19</f>
        <v>6</v>
      </c>
      <c r="G19" s="117">
        <v>45971</v>
      </c>
      <c r="H19" s="266"/>
      <c r="I19" s="37">
        <v>45971</v>
      </c>
      <c r="J19" s="37">
        <v>45980</v>
      </c>
      <c r="K19" s="37">
        <v>46020</v>
      </c>
      <c r="L19" s="37">
        <v>46034</v>
      </c>
      <c r="M19" s="21">
        <f>(L20-I19+1)/7</f>
        <v>11.714285714285714</v>
      </c>
      <c r="N19" s="389" t="s">
        <v>147</v>
      </c>
      <c r="P19" s="26"/>
      <c r="S19" s="39"/>
      <c r="T19" s="39"/>
    </row>
    <row r="20" spans="1:20" ht="16.5" customHeight="1" x14ac:dyDescent="0.3">
      <c r="A20" s="352"/>
      <c r="B20" s="213"/>
      <c r="C20" s="108"/>
      <c r="D20" s="15"/>
      <c r="E20" s="14"/>
      <c r="F20" s="138"/>
      <c r="G20" s="118"/>
      <c r="H20" s="267"/>
      <c r="I20" s="19">
        <v>45975</v>
      </c>
      <c r="J20" s="19">
        <v>46017</v>
      </c>
      <c r="K20" s="19">
        <v>46033</v>
      </c>
      <c r="L20" s="120">
        <v>46052</v>
      </c>
      <c r="M20" s="24"/>
      <c r="N20" s="390"/>
      <c r="S20" s="39"/>
    </row>
    <row r="21" spans="1:20" ht="16.5" customHeight="1" x14ac:dyDescent="0.3">
      <c r="A21" s="352"/>
      <c r="B21" s="215"/>
      <c r="C21" s="109"/>
      <c r="D21" s="29"/>
      <c r="E21" s="28"/>
      <c r="F21" s="139"/>
      <c r="G21" s="119"/>
      <c r="H21" s="268"/>
      <c r="I21" s="33">
        <f t="shared" ref="I21:L21" si="2">(I20-I19+1)/7</f>
        <v>0.7142857142857143</v>
      </c>
      <c r="J21" s="33">
        <f t="shared" si="2"/>
        <v>5.4285714285714288</v>
      </c>
      <c r="K21" s="193">
        <f t="shared" si="2"/>
        <v>2</v>
      </c>
      <c r="L21" s="33">
        <f t="shared" si="2"/>
        <v>2.7142857142857144</v>
      </c>
      <c r="M21" s="35"/>
      <c r="N21" s="391"/>
    </row>
    <row r="22" spans="1:20" ht="16.5" customHeight="1" x14ac:dyDescent="0.3">
      <c r="A22" s="352"/>
      <c r="B22" s="212" t="s">
        <v>144</v>
      </c>
      <c r="C22" s="110"/>
      <c r="D22" s="43">
        <v>16</v>
      </c>
      <c r="E22" s="239"/>
      <c r="F22" s="138">
        <f>C22+D22+E22</f>
        <v>16</v>
      </c>
      <c r="G22" s="117">
        <v>45971</v>
      </c>
      <c r="H22" s="266"/>
      <c r="I22" s="37">
        <v>45971</v>
      </c>
      <c r="J22" s="37">
        <v>45980</v>
      </c>
      <c r="K22" s="37">
        <v>46020</v>
      </c>
      <c r="L22" s="37">
        <v>46036</v>
      </c>
      <c r="M22" s="21">
        <f>(L23-I22+1)/7</f>
        <v>15.142857142857142</v>
      </c>
      <c r="N22" s="389" t="s">
        <v>187</v>
      </c>
    </row>
    <row r="23" spans="1:20" ht="16.5" customHeight="1" x14ac:dyDescent="0.3">
      <c r="A23" s="352"/>
      <c r="B23" s="213"/>
      <c r="C23" s="108"/>
      <c r="D23" s="15"/>
      <c r="E23" s="14"/>
      <c r="F23" s="138"/>
      <c r="G23" s="118"/>
      <c r="H23" s="267"/>
      <c r="I23" s="19">
        <v>45975</v>
      </c>
      <c r="J23" s="19">
        <v>46017</v>
      </c>
      <c r="K23" s="19">
        <v>46033</v>
      </c>
      <c r="L23" s="120">
        <v>46076</v>
      </c>
      <c r="M23" s="24"/>
      <c r="N23" s="390"/>
    </row>
    <row r="24" spans="1:20" ht="16.5" customHeight="1" x14ac:dyDescent="0.3">
      <c r="A24" s="352"/>
      <c r="B24" s="215"/>
      <c r="C24" s="109"/>
      <c r="D24" s="29"/>
      <c r="E24" s="28"/>
      <c r="F24" s="139"/>
      <c r="G24" s="119"/>
      <c r="H24" s="268"/>
      <c r="I24" s="33">
        <f t="shared" ref="I24:L24" si="3">(I23-I22+1)/7</f>
        <v>0.7142857142857143</v>
      </c>
      <c r="J24" s="33">
        <f t="shared" si="3"/>
        <v>5.4285714285714288</v>
      </c>
      <c r="K24" s="193">
        <f t="shared" si="3"/>
        <v>2</v>
      </c>
      <c r="L24" s="33">
        <f t="shared" si="3"/>
        <v>5.8571428571428568</v>
      </c>
      <c r="M24" s="35"/>
      <c r="N24" s="391"/>
    </row>
    <row r="25" spans="1:20" ht="16.5" customHeight="1" x14ac:dyDescent="0.3">
      <c r="A25" s="352"/>
      <c r="B25" s="196" t="s">
        <v>145</v>
      </c>
      <c r="C25" s="108"/>
      <c r="D25" s="15"/>
      <c r="E25" s="14">
        <v>3</v>
      </c>
      <c r="F25" s="138">
        <f>C25+D25+E25</f>
        <v>3</v>
      </c>
      <c r="G25" s="117">
        <v>46013</v>
      </c>
      <c r="H25" s="266"/>
      <c r="I25" s="37">
        <v>46013</v>
      </c>
      <c r="J25" s="37">
        <v>46020</v>
      </c>
      <c r="K25" s="37">
        <v>46055</v>
      </c>
      <c r="L25" s="37">
        <v>46084</v>
      </c>
      <c r="M25" s="202">
        <f>(L26-I25+1)/7</f>
        <v>12.428571428571429</v>
      </c>
      <c r="N25" s="357" t="s">
        <v>189</v>
      </c>
      <c r="P25" s="26"/>
      <c r="S25" s="39"/>
    </row>
    <row r="26" spans="1:20" ht="16.5" customHeight="1" x14ac:dyDescent="0.3">
      <c r="A26" s="352"/>
      <c r="B26" s="196"/>
      <c r="C26" s="108"/>
      <c r="D26" s="15"/>
      <c r="E26" s="214"/>
      <c r="F26" s="138"/>
      <c r="G26" s="118"/>
      <c r="H26" s="267"/>
      <c r="I26" s="19">
        <v>46017</v>
      </c>
      <c r="J26" s="19">
        <v>46050</v>
      </c>
      <c r="K26" s="19">
        <v>46082</v>
      </c>
      <c r="L26" s="203">
        <v>46099</v>
      </c>
      <c r="M26" s="204"/>
      <c r="N26" s="355"/>
    </row>
    <row r="27" spans="1:20" ht="16.5" customHeight="1" x14ac:dyDescent="0.3">
      <c r="A27" s="352"/>
      <c r="B27" s="215"/>
      <c r="C27" s="109"/>
      <c r="D27" s="29"/>
      <c r="E27" s="216"/>
      <c r="F27" s="139"/>
      <c r="G27" s="119"/>
      <c r="H27" s="268"/>
      <c r="I27" s="33">
        <f t="shared" ref="I27:L27" si="4">(I26-I25+1)/7</f>
        <v>0.7142857142857143</v>
      </c>
      <c r="J27" s="33">
        <f t="shared" si="4"/>
        <v>4.4285714285714288</v>
      </c>
      <c r="K27" s="193">
        <f t="shared" si="4"/>
        <v>4</v>
      </c>
      <c r="L27" s="205">
        <f t="shared" si="4"/>
        <v>2.2857142857142856</v>
      </c>
      <c r="M27" s="206"/>
      <c r="N27" s="356"/>
    </row>
    <row r="28" spans="1:20" ht="16.5" customHeight="1" x14ac:dyDescent="0.3">
      <c r="A28" s="352"/>
      <c r="B28" s="196" t="s">
        <v>146</v>
      </c>
      <c r="C28" s="108">
        <v>9</v>
      </c>
      <c r="D28" s="15">
        <v>7</v>
      </c>
      <c r="E28" s="197"/>
      <c r="F28" s="138">
        <f>C28+D28+E28</f>
        <v>16</v>
      </c>
      <c r="G28" s="117">
        <v>46013</v>
      </c>
      <c r="H28" s="266"/>
      <c r="I28" s="37">
        <v>46013</v>
      </c>
      <c r="J28" s="37">
        <v>46020</v>
      </c>
      <c r="K28" s="37">
        <v>46055</v>
      </c>
      <c r="L28" s="37">
        <v>46084</v>
      </c>
      <c r="M28" s="202">
        <f>(L29-I28+1)/7</f>
        <v>13.285714285714286</v>
      </c>
      <c r="N28" s="357" t="s">
        <v>189</v>
      </c>
    </row>
    <row r="29" spans="1:20" ht="16.5" customHeight="1" x14ac:dyDescent="0.3">
      <c r="A29" s="352"/>
      <c r="B29" s="196"/>
      <c r="C29" s="108"/>
      <c r="D29" s="15"/>
      <c r="E29" s="214"/>
      <c r="F29" s="138"/>
      <c r="G29" s="118"/>
      <c r="H29" s="267"/>
      <c r="I29" s="19">
        <v>46017</v>
      </c>
      <c r="J29" s="19">
        <v>46050</v>
      </c>
      <c r="K29" s="19">
        <v>46082</v>
      </c>
      <c r="L29" s="203">
        <v>46105</v>
      </c>
      <c r="M29" s="204"/>
      <c r="N29" s="355"/>
    </row>
    <row r="30" spans="1:20" ht="16.5" customHeight="1" x14ac:dyDescent="0.3">
      <c r="A30" s="352"/>
      <c r="B30" s="215"/>
      <c r="C30" s="109"/>
      <c r="D30" s="29"/>
      <c r="E30" s="216"/>
      <c r="F30" s="139"/>
      <c r="G30" s="119"/>
      <c r="H30" s="268"/>
      <c r="I30" s="33">
        <f t="shared" ref="I30:L30" si="5">(I29-I28+1)/7</f>
        <v>0.7142857142857143</v>
      </c>
      <c r="J30" s="33">
        <f t="shared" si="5"/>
        <v>4.4285714285714288</v>
      </c>
      <c r="K30" s="193">
        <f t="shared" si="5"/>
        <v>4</v>
      </c>
      <c r="L30" s="205">
        <f t="shared" si="5"/>
        <v>3.1428571428571428</v>
      </c>
      <c r="M30" s="206"/>
      <c r="N30" s="356"/>
    </row>
    <row r="31" spans="1:20" ht="16.5" customHeight="1" x14ac:dyDescent="0.3">
      <c r="A31" s="352"/>
      <c r="B31" s="13" t="s">
        <v>86</v>
      </c>
      <c r="C31" s="108"/>
      <c r="D31" s="15">
        <v>14</v>
      </c>
      <c r="E31" s="197"/>
      <c r="F31" s="138">
        <f t="shared" ref="F31" si="6">C31+D31+E31</f>
        <v>14</v>
      </c>
      <c r="G31" s="117">
        <v>46041</v>
      </c>
      <c r="H31" s="266"/>
      <c r="I31" s="37">
        <v>46041</v>
      </c>
      <c r="J31" s="37">
        <v>46048</v>
      </c>
      <c r="K31" s="37">
        <v>46083</v>
      </c>
      <c r="L31" s="201">
        <v>46106</v>
      </c>
      <c r="M31" s="202">
        <f>(L32-I31+1)/7</f>
        <v>12</v>
      </c>
      <c r="N31" s="357" t="s">
        <v>188</v>
      </c>
      <c r="P31" s="26"/>
    </row>
    <row r="32" spans="1:20" ht="16.5" customHeight="1" x14ac:dyDescent="0.3">
      <c r="A32" s="352"/>
      <c r="B32" s="13"/>
      <c r="C32" s="108"/>
      <c r="D32" s="15"/>
      <c r="E32" s="214"/>
      <c r="F32" s="138"/>
      <c r="G32" s="118"/>
      <c r="H32" s="267"/>
      <c r="I32" s="19">
        <v>46045</v>
      </c>
      <c r="J32" s="19">
        <v>46081</v>
      </c>
      <c r="K32" s="19">
        <v>46103</v>
      </c>
      <c r="L32" s="203">
        <v>46124</v>
      </c>
      <c r="M32" s="204"/>
      <c r="N32" s="355"/>
    </row>
    <row r="33" spans="1:21" ht="16.5" customHeight="1" x14ac:dyDescent="0.3">
      <c r="A33" s="352"/>
      <c r="B33" s="217"/>
      <c r="C33" s="109"/>
      <c r="D33" s="29"/>
      <c r="E33" s="216"/>
      <c r="F33" s="139"/>
      <c r="G33" s="119"/>
      <c r="H33" s="268"/>
      <c r="I33" s="33">
        <f t="shared" ref="I33:L33" si="7">(I32-I31+1)/7</f>
        <v>0.7142857142857143</v>
      </c>
      <c r="J33" s="33">
        <f t="shared" si="7"/>
        <v>4.8571428571428568</v>
      </c>
      <c r="K33" s="193">
        <f t="shared" si="7"/>
        <v>3</v>
      </c>
      <c r="L33" s="205">
        <f t="shared" si="7"/>
        <v>2.7142857142857144</v>
      </c>
      <c r="M33" s="206"/>
      <c r="N33" s="356"/>
    </row>
    <row r="34" spans="1:21" ht="16.5" customHeight="1" x14ac:dyDescent="0.3">
      <c r="A34" s="352"/>
      <c r="B34" s="13" t="s">
        <v>87</v>
      </c>
      <c r="C34" s="108"/>
      <c r="D34" s="15">
        <v>18</v>
      </c>
      <c r="E34" s="14"/>
      <c r="F34" s="138">
        <f t="shared" ref="F34" si="8">C34+D34+E34</f>
        <v>18</v>
      </c>
      <c r="G34" s="82">
        <v>46062</v>
      </c>
      <c r="H34" s="269"/>
      <c r="I34" s="37">
        <v>46062</v>
      </c>
      <c r="J34" s="201">
        <v>46076</v>
      </c>
      <c r="K34" s="201">
        <v>46111</v>
      </c>
      <c r="L34" s="201">
        <v>46118</v>
      </c>
      <c r="M34" s="202">
        <f>(L35-I34+1)/7</f>
        <v>11.571428571428571</v>
      </c>
      <c r="N34" s="357" t="s">
        <v>190</v>
      </c>
    </row>
    <row r="35" spans="1:21" ht="16.5" customHeight="1" x14ac:dyDescent="0.3">
      <c r="A35" s="352"/>
      <c r="B35" s="13"/>
      <c r="C35" s="108"/>
      <c r="D35" s="15"/>
      <c r="E35" s="14"/>
      <c r="F35" s="138"/>
      <c r="G35" s="16"/>
      <c r="H35" s="270"/>
      <c r="I35" s="19">
        <v>46066</v>
      </c>
      <c r="J35" s="209">
        <v>46108</v>
      </c>
      <c r="K35" s="209">
        <v>46117</v>
      </c>
      <c r="L35" s="203">
        <v>46142</v>
      </c>
      <c r="M35" s="204"/>
      <c r="N35" s="355"/>
    </row>
    <row r="36" spans="1:21" ht="16.5" customHeight="1" x14ac:dyDescent="0.3">
      <c r="A36" s="352"/>
      <c r="B36" s="217"/>
      <c r="C36" s="109"/>
      <c r="D36" s="29"/>
      <c r="E36" s="28"/>
      <c r="F36" s="139"/>
      <c r="G36" s="30"/>
      <c r="H36" s="271"/>
      <c r="I36" s="33">
        <f t="shared" ref="I36:L36" si="9">(I35-I34+1)/7</f>
        <v>0.7142857142857143</v>
      </c>
      <c r="J36" s="205">
        <f t="shared" si="9"/>
        <v>4.7142857142857144</v>
      </c>
      <c r="K36" s="211">
        <f t="shared" si="9"/>
        <v>1</v>
      </c>
      <c r="L36" s="205">
        <f t="shared" si="9"/>
        <v>3.5714285714285716</v>
      </c>
      <c r="M36" s="206"/>
      <c r="N36" s="356"/>
    </row>
    <row r="37" spans="1:21" ht="16.5" customHeight="1" x14ac:dyDescent="0.3">
      <c r="A37" s="352"/>
      <c r="B37" s="13" t="s">
        <v>88</v>
      </c>
      <c r="C37" s="108"/>
      <c r="D37" s="15">
        <v>19</v>
      </c>
      <c r="E37" s="14"/>
      <c r="F37" s="138">
        <f t="shared" ref="F37" si="10">C37+D37+E37</f>
        <v>19</v>
      </c>
      <c r="G37" s="260">
        <v>46104</v>
      </c>
      <c r="H37" s="269"/>
      <c r="I37" s="201">
        <v>46104</v>
      </c>
      <c r="J37" s="201">
        <v>46111</v>
      </c>
      <c r="K37" s="209"/>
      <c r="L37" s="201">
        <v>46148</v>
      </c>
      <c r="M37" s="202">
        <f>(L38-I37+1)/7</f>
        <v>11.714285714285714</v>
      </c>
      <c r="N37" s="365" t="s">
        <v>191</v>
      </c>
      <c r="P37" s="26"/>
    </row>
    <row r="38" spans="1:21" ht="16.5" customHeight="1" x14ac:dyDescent="0.3">
      <c r="A38" s="352"/>
      <c r="B38" s="13"/>
      <c r="C38" s="108"/>
      <c r="D38" s="15"/>
      <c r="E38" s="14"/>
      <c r="F38" s="138"/>
      <c r="G38" s="261"/>
      <c r="H38" s="270"/>
      <c r="I38" s="209">
        <v>46108</v>
      </c>
      <c r="J38" s="209">
        <v>46142</v>
      </c>
      <c r="K38" s="209"/>
      <c r="L38" s="203">
        <v>46185</v>
      </c>
      <c r="M38" s="204"/>
      <c r="N38" s="366"/>
    </row>
    <row r="39" spans="1:21" ht="16.5" customHeight="1" thickBot="1" x14ac:dyDescent="0.35">
      <c r="A39" s="353"/>
      <c r="B39" s="47"/>
      <c r="C39" s="111"/>
      <c r="D39" s="49"/>
      <c r="E39" s="48"/>
      <c r="F39" s="105"/>
      <c r="G39" s="262"/>
      <c r="H39" s="272"/>
      <c r="I39" s="219">
        <f t="shared" ref="I39:J39" si="11">(I38-I37+1)/7</f>
        <v>0.7142857142857143</v>
      </c>
      <c r="J39" s="219">
        <f t="shared" si="11"/>
        <v>4.5714285714285712</v>
      </c>
      <c r="K39" s="211"/>
      <c r="L39" s="219">
        <f t="shared" ref="L39" si="12">(L38-L37+1)/7</f>
        <v>5.4285714285714288</v>
      </c>
      <c r="M39" s="221"/>
      <c r="N39" s="367"/>
      <c r="R39" s="39"/>
    </row>
    <row r="40" spans="1:21" ht="24" customHeight="1" thickBot="1" x14ac:dyDescent="0.35">
      <c r="A40" s="348" t="s">
        <v>10</v>
      </c>
      <c r="B40" s="349"/>
      <c r="C40" s="222">
        <f>SUM(C16:C39)</f>
        <v>9</v>
      </c>
      <c r="D40" s="223">
        <f>SUM(D16:D39)</f>
        <v>74</v>
      </c>
      <c r="E40" s="224">
        <f>SUM(E16:E39)</f>
        <v>16</v>
      </c>
      <c r="F40" s="225">
        <f>SUM(C40:E40)</f>
        <v>99</v>
      </c>
      <c r="G40" s="263"/>
      <c r="H40" s="451" t="s">
        <v>42</v>
      </c>
      <c r="I40" s="451"/>
      <c r="J40" s="451"/>
      <c r="K40" s="451"/>
      <c r="L40" s="452"/>
      <c r="M40" s="226">
        <f>AVERAGE(M16:M39)</f>
        <v>12.821428571428571</v>
      </c>
      <c r="N40" s="227" t="s">
        <v>41</v>
      </c>
      <c r="P40" s="350" t="s">
        <v>43</v>
      </c>
      <c r="Q40" s="350"/>
    </row>
    <row r="41" spans="1:21" ht="15" customHeight="1" x14ac:dyDescent="0.3">
      <c r="A41" s="351" t="s">
        <v>128</v>
      </c>
      <c r="B41" s="63" t="s">
        <v>129</v>
      </c>
      <c r="C41" s="191">
        <v>6</v>
      </c>
      <c r="D41" s="65"/>
      <c r="E41" s="274"/>
      <c r="F41" s="248">
        <f>C41+D41+E41</f>
        <v>6</v>
      </c>
      <c r="G41" s="280">
        <v>46104</v>
      </c>
      <c r="H41" s="258">
        <v>46104</v>
      </c>
      <c r="I41" s="277">
        <v>45788</v>
      </c>
      <c r="J41" s="241">
        <v>46160</v>
      </c>
      <c r="K41" s="241"/>
      <c r="L41" s="241">
        <v>46188</v>
      </c>
      <c r="M41" s="242">
        <f>(L42-H41+1)/7</f>
        <v>16</v>
      </c>
      <c r="N41" s="354" t="s">
        <v>192</v>
      </c>
      <c r="O41" s="71"/>
      <c r="P41" s="5" t="s">
        <v>47</v>
      </c>
      <c r="Q41" s="72" t="e">
        <f>AVERAGE(I43,I46,I49,I52,I55,#REF!,#REF!,#REF!,#REF!,#REF!)</f>
        <v>#REF!</v>
      </c>
      <c r="R41" s="5">
        <v>1</v>
      </c>
      <c r="S41" s="39"/>
    </row>
    <row r="42" spans="1:21" ht="15" customHeight="1" x14ac:dyDescent="0.3">
      <c r="A42" s="352"/>
      <c r="B42" s="13"/>
      <c r="C42" s="108"/>
      <c r="D42" s="15"/>
      <c r="E42" s="275"/>
      <c r="F42" s="138"/>
      <c r="G42" s="16"/>
      <c r="H42" s="258">
        <v>46133</v>
      </c>
      <c r="I42" s="209">
        <v>45792</v>
      </c>
      <c r="J42" s="209">
        <v>46185</v>
      </c>
      <c r="K42" s="209"/>
      <c r="L42" s="203">
        <v>46215</v>
      </c>
      <c r="M42" s="204"/>
      <c r="N42" s="355"/>
      <c r="O42" s="71"/>
      <c r="P42" s="5" t="s">
        <v>48</v>
      </c>
      <c r="Q42" s="72" t="e">
        <f>AVERAGE(J43,J46,J49,J52,J55,#REF!,#REF!,#REF!,#REF!,#REF!)</f>
        <v>#REF!</v>
      </c>
      <c r="R42" s="5">
        <v>6</v>
      </c>
    </row>
    <row r="43" spans="1:21" ht="15" customHeight="1" x14ac:dyDescent="0.3">
      <c r="A43" s="352"/>
      <c r="B43" s="27"/>
      <c r="C43" s="109"/>
      <c r="D43" s="29"/>
      <c r="E43" s="276"/>
      <c r="F43" s="139"/>
      <c r="G43" s="30"/>
      <c r="H43" s="259">
        <f t="shared" ref="H43:I43" si="13">(H42-H41+1)/7</f>
        <v>4.2857142857142856</v>
      </c>
      <c r="I43" s="205">
        <f t="shared" si="13"/>
        <v>0.7142857142857143</v>
      </c>
      <c r="J43" s="205">
        <f>(J42-J41+1)/7</f>
        <v>3.7142857142857144</v>
      </c>
      <c r="K43" s="205"/>
      <c r="L43" s="205">
        <f>(L42-L41+1)/7</f>
        <v>4</v>
      </c>
      <c r="M43" s="206"/>
      <c r="N43" s="356"/>
      <c r="O43" s="71"/>
      <c r="P43" s="5" t="s">
        <v>49</v>
      </c>
      <c r="Q43" s="72" t="e">
        <f>AVERAGE(L43,L46,L49,L52,L55,#REF!,#REF!,#REF!,#REF!,#REF!)</f>
        <v>#REF!</v>
      </c>
      <c r="R43" s="5">
        <v>5</v>
      </c>
      <c r="S43" s="39"/>
    </row>
    <row r="44" spans="1:21" ht="15" customHeight="1" x14ac:dyDescent="0.3">
      <c r="A44" s="352"/>
      <c r="B44" s="13" t="s">
        <v>130</v>
      </c>
      <c r="C44" s="108">
        <v>18</v>
      </c>
      <c r="D44" s="15"/>
      <c r="E44" s="14">
        <v>8</v>
      </c>
      <c r="F44" s="138">
        <f t="shared" ref="F44" si="14">C44+D44+E44</f>
        <v>26</v>
      </c>
      <c r="G44" s="279">
        <v>46133</v>
      </c>
      <c r="H44" s="258">
        <v>46133</v>
      </c>
      <c r="I44" s="230">
        <v>46188</v>
      </c>
      <c r="J44" s="201">
        <v>46195</v>
      </c>
      <c r="K44" s="201"/>
      <c r="L44" s="201">
        <v>46223</v>
      </c>
      <c r="M44" s="204">
        <f>(L45-H44+1)/7</f>
        <v>18.571428571428573</v>
      </c>
      <c r="N44" s="357" t="s">
        <v>193</v>
      </c>
      <c r="Q44" s="76"/>
      <c r="R44" s="39"/>
    </row>
    <row r="45" spans="1:21" ht="15" customHeight="1" x14ac:dyDescent="0.3">
      <c r="A45" s="352"/>
      <c r="B45" s="13"/>
      <c r="C45" s="108"/>
      <c r="D45" s="15"/>
      <c r="E45" s="14"/>
      <c r="F45" s="138"/>
      <c r="G45" s="75"/>
      <c r="H45" s="258">
        <v>46181</v>
      </c>
      <c r="I45" s="209">
        <v>46192</v>
      </c>
      <c r="J45" s="209">
        <v>46224</v>
      </c>
      <c r="K45" s="209"/>
      <c r="L45" s="203">
        <v>46262</v>
      </c>
      <c r="M45" s="204"/>
      <c r="N45" s="355"/>
    </row>
    <row r="46" spans="1:21" ht="15" customHeight="1" x14ac:dyDescent="0.3">
      <c r="A46" s="352"/>
      <c r="B46" s="27"/>
      <c r="C46" s="109"/>
      <c r="D46" s="29"/>
      <c r="E46" s="28"/>
      <c r="F46" s="139"/>
      <c r="G46" s="264"/>
      <c r="H46" s="259">
        <f t="shared" ref="H46:L46" si="15">(H45-H44+1)/7</f>
        <v>7</v>
      </c>
      <c r="I46" s="205">
        <f t="shared" si="15"/>
        <v>0.7142857142857143</v>
      </c>
      <c r="J46" s="205">
        <f t="shared" si="15"/>
        <v>4.2857142857142856</v>
      </c>
      <c r="K46" s="205"/>
      <c r="L46" s="205">
        <f t="shared" si="15"/>
        <v>5.7142857142857144</v>
      </c>
      <c r="M46" s="206"/>
      <c r="N46" s="356"/>
      <c r="Q46" s="39"/>
      <c r="S46" s="39"/>
    </row>
    <row r="47" spans="1:21" ht="15" customHeight="1" x14ac:dyDescent="0.3">
      <c r="A47" s="352"/>
      <c r="B47" s="13" t="s">
        <v>131</v>
      </c>
      <c r="C47" s="108">
        <v>18</v>
      </c>
      <c r="D47" s="15"/>
      <c r="E47" s="14">
        <v>8</v>
      </c>
      <c r="F47" s="138">
        <f t="shared" ref="F47" si="16">C47+D47+E47</f>
        <v>26</v>
      </c>
      <c r="G47" s="279">
        <v>46170</v>
      </c>
      <c r="H47" s="258">
        <v>46170</v>
      </c>
      <c r="I47" s="230">
        <v>46223</v>
      </c>
      <c r="J47" s="201">
        <v>46230</v>
      </c>
      <c r="K47" s="201"/>
      <c r="L47" s="201">
        <v>46260</v>
      </c>
      <c r="M47" s="204">
        <f t="shared" ref="M47" si="17">(L48-H47+1)/7</f>
        <v>19.857142857142858</v>
      </c>
      <c r="N47" s="357" t="s">
        <v>194</v>
      </c>
      <c r="P47" s="39"/>
      <c r="U47" s="39"/>
    </row>
    <row r="48" spans="1:21" ht="15" customHeight="1" x14ac:dyDescent="0.3">
      <c r="A48" s="352"/>
      <c r="B48" s="13"/>
      <c r="C48" s="108"/>
      <c r="D48" s="15"/>
      <c r="E48" s="14"/>
      <c r="F48" s="138"/>
      <c r="G48" s="75"/>
      <c r="H48" s="258">
        <v>46213</v>
      </c>
      <c r="I48" s="209">
        <v>46227</v>
      </c>
      <c r="J48" s="209">
        <v>46262</v>
      </c>
      <c r="K48" s="209"/>
      <c r="L48" s="203">
        <v>46308</v>
      </c>
      <c r="M48" s="204"/>
      <c r="N48" s="355"/>
      <c r="P48" s="77"/>
      <c r="R48" s="77"/>
      <c r="S48" s="77"/>
    </row>
    <row r="49" spans="1:20" ht="15" customHeight="1" x14ac:dyDescent="0.3">
      <c r="A49" s="352"/>
      <c r="B49" s="27"/>
      <c r="C49" s="109"/>
      <c r="D49" s="29"/>
      <c r="E49" s="28"/>
      <c r="F49" s="139"/>
      <c r="G49" s="264"/>
      <c r="H49" s="259">
        <f t="shared" ref="H49:L49" si="18">(H48-H47+1)/7</f>
        <v>6.2857142857142856</v>
      </c>
      <c r="I49" s="205">
        <f t="shared" si="18"/>
        <v>0.7142857142857143</v>
      </c>
      <c r="J49" s="205">
        <f t="shared" si="18"/>
        <v>4.7142857142857144</v>
      </c>
      <c r="K49" s="205"/>
      <c r="L49" s="205">
        <f t="shared" si="18"/>
        <v>7</v>
      </c>
      <c r="M49" s="206"/>
      <c r="N49" s="356"/>
      <c r="P49" s="77">
        <v>11.1</v>
      </c>
      <c r="Q49" s="77">
        <v>15.1</v>
      </c>
      <c r="R49" s="77">
        <f t="shared" ref="R49:R54" si="19">P49-Q49</f>
        <v>-4</v>
      </c>
      <c r="S49" s="77"/>
    </row>
    <row r="50" spans="1:20" ht="15" customHeight="1" x14ac:dyDescent="0.3">
      <c r="A50" s="352"/>
      <c r="B50" s="13" t="s">
        <v>132</v>
      </c>
      <c r="C50" s="108"/>
      <c r="D50" s="15">
        <v>14</v>
      </c>
      <c r="E50" s="14">
        <v>8</v>
      </c>
      <c r="F50" s="138">
        <f t="shared" ref="F50" si="20">C50+D50+E50</f>
        <v>22</v>
      </c>
      <c r="G50" s="279">
        <v>46203</v>
      </c>
      <c r="H50" s="258">
        <v>46203</v>
      </c>
      <c r="I50" s="230">
        <v>46252</v>
      </c>
      <c r="J50" s="201">
        <v>46258</v>
      </c>
      <c r="K50" s="201">
        <v>46300</v>
      </c>
      <c r="L50" s="201">
        <v>46307</v>
      </c>
      <c r="M50" s="204">
        <f>(L51-H50+1)/7</f>
        <v>18.857142857142858</v>
      </c>
      <c r="N50" s="357" t="s">
        <v>195</v>
      </c>
      <c r="P50" s="77">
        <v>10.7</v>
      </c>
      <c r="Q50" s="77">
        <v>15.1</v>
      </c>
      <c r="R50" s="77">
        <f t="shared" si="19"/>
        <v>-4.4000000000000004</v>
      </c>
      <c r="S50" s="77"/>
    </row>
    <row r="51" spans="1:20" ht="15" customHeight="1" x14ac:dyDescent="0.3">
      <c r="A51" s="352"/>
      <c r="B51" s="13"/>
      <c r="C51" s="108"/>
      <c r="D51" s="15"/>
      <c r="E51" s="14"/>
      <c r="F51" s="138"/>
      <c r="G51" s="75"/>
      <c r="H51" s="258">
        <v>46241</v>
      </c>
      <c r="I51" s="209">
        <v>46255</v>
      </c>
      <c r="J51" s="209">
        <v>46297</v>
      </c>
      <c r="K51" s="209">
        <v>46320</v>
      </c>
      <c r="L51" s="203">
        <v>46334</v>
      </c>
      <c r="M51" s="204"/>
      <c r="N51" s="355"/>
      <c r="P51" s="77">
        <v>10.3</v>
      </c>
      <c r="Q51" s="77">
        <v>14.7</v>
      </c>
      <c r="R51" s="77">
        <f t="shared" si="19"/>
        <v>-4.3999999999999986</v>
      </c>
      <c r="S51" s="77"/>
    </row>
    <row r="52" spans="1:20" ht="15" customHeight="1" x14ac:dyDescent="0.3">
      <c r="A52" s="352"/>
      <c r="B52" s="27"/>
      <c r="C52" s="109"/>
      <c r="D52" s="29"/>
      <c r="E52" s="28"/>
      <c r="F52" s="139"/>
      <c r="G52" s="264"/>
      <c r="H52" s="259">
        <f t="shared" ref="H52:L52" si="21">(H51-H50+1)/7</f>
        <v>5.5714285714285712</v>
      </c>
      <c r="I52" s="205">
        <f t="shared" si="21"/>
        <v>0.5714285714285714</v>
      </c>
      <c r="J52" s="205">
        <f t="shared" si="21"/>
        <v>5.7142857142857144</v>
      </c>
      <c r="K52" s="205">
        <f t="shared" si="21"/>
        <v>3</v>
      </c>
      <c r="L52" s="205">
        <f t="shared" si="21"/>
        <v>4</v>
      </c>
      <c r="M52" s="206"/>
      <c r="N52" s="356"/>
      <c r="P52" s="77">
        <v>7.7</v>
      </c>
      <c r="Q52" s="77">
        <v>10.7</v>
      </c>
      <c r="R52" s="77">
        <f t="shared" si="19"/>
        <v>-2.9999999999999991</v>
      </c>
      <c r="S52" s="77"/>
    </row>
    <row r="53" spans="1:20" ht="15" customHeight="1" x14ac:dyDescent="0.3">
      <c r="A53" s="352"/>
      <c r="B53" s="13" t="s">
        <v>133</v>
      </c>
      <c r="C53" s="108"/>
      <c r="D53" s="15">
        <v>14</v>
      </c>
      <c r="E53" s="14">
        <v>8</v>
      </c>
      <c r="F53" s="138">
        <f t="shared" ref="F53" si="22">C53+D53+E53</f>
        <v>22</v>
      </c>
      <c r="G53" s="279">
        <v>46238</v>
      </c>
      <c r="H53" s="258">
        <v>46238</v>
      </c>
      <c r="I53" s="230">
        <v>46293</v>
      </c>
      <c r="J53" s="201">
        <v>46300</v>
      </c>
      <c r="K53" s="201">
        <v>46335</v>
      </c>
      <c r="L53" s="201">
        <v>46335</v>
      </c>
      <c r="M53" s="204">
        <f t="shared" ref="M53" si="23">(L54-H53+1)/7</f>
        <v>16.857142857142858</v>
      </c>
      <c r="N53" s="357" t="s">
        <v>196</v>
      </c>
      <c r="P53" s="77">
        <v>9.6999999999999993</v>
      </c>
      <c r="Q53" s="77">
        <v>9.6999999999999993</v>
      </c>
      <c r="R53" s="77">
        <f t="shared" si="19"/>
        <v>0</v>
      </c>
      <c r="S53" s="77"/>
    </row>
    <row r="54" spans="1:20" ht="15" customHeight="1" x14ac:dyDescent="0.3">
      <c r="A54" s="352"/>
      <c r="B54" s="13"/>
      <c r="C54" s="108"/>
      <c r="D54" s="15"/>
      <c r="E54" s="14"/>
      <c r="F54" s="138"/>
      <c r="G54" s="75"/>
      <c r="H54" s="258">
        <v>46276</v>
      </c>
      <c r="I54" s="209">
        <v>46297</v>
      </c>
      <c r="J54" s="209">
        <v>46332</v>
      </c>
      <c r="K54" s="209">
        <v>46341</v>
      </c>
      <c r="L54" s="203">
        <v>46355</v>
      </c>
      <c r="M54" s="204"/>
      <c r="N54" s="355"/>
      <c r="P54" s="77">
        <v>9.6</v>
      </c>
      <c r="Q54" s="77">
        <v>9.6</v>
      </c>
      <c r="R54" s="77">
        <f t="shared" si="19"/>
        <v>0</v>
      </c>
      <c r="S54" s="77"/>
      <c r="T54" s="72"/>
    </row>
    <row r="55" spans="1:20" ht="15" customHeight="1" x14ac:dyDescent="0.3">
      <c r="A55" s="352"/>
      <c r="B55" s="27"/>
      <c r="C55" s="109"/>
      <c r="D55" s="29"/>
      <c r="E55" s="28"/>
      <c r="F55" s="139"/>
      <c r="G55" s="264"/>
      <c r="H55" s="259">
        <f t="shared" ref="H55:K55" si="24">(H54-H53+1)/7</f>
        <v>5.5714285714285712</v>
      </c>
      <c r="I55" s="205">
        <f t="shared" si="24"/>
        <v>0.7142857142857143</v>
      </c>
      <c r="J55" s="205">
        <f t="shared" si="24"/>
        <v>4.7142857142857144</v>
      </c>
      <c r="K55" s="205">
        <f t="shared" si="24"/>
        <v>1</v>
      </c>
      <c r="L55" s="205">
        <f t="shared" ref="L55" si="25">(L54-L53+1)/7</f>
        <v>3</v>
      </c>
      <c r="M55" s="206"/>
      <c r="N55" s="356"/>
      <c r="P55" s="77"/>
      <c r="Q55" s="77"/>
      <c r="R55" s="77"/>
      <c r="S55" s="77"/>
    </row>
    <row r="56" spans="1:20" ht="15" customHeight="1" x14ac:dyDescent="0.3">
      <c r="A56" s="352"/>
      <c r="B56" s="13" t="s">
        <v>134</v>
      </c>
      <c r="C56" s="108">
        <v>6</v>
      </c>
      <c r="D56" s="15"/>
      <c r="E56" s="14">
        <v>8</v>
      </c>
      <c r="F56" s="138">
        <f>C56+D56+E56</f>
        <v>14</v>
      </c>
      <c r="G56" s="279">
        <v>46315</v>
      </c>
      <c r="H56" s="258">
        <v>46315</v>
      </c>
      <c r="I56" s="230">
        <v>46363</v>
      </c>
      <c r="J56" s="201">
        <v>46370</v>
      </c>
      <c r="K56" s="228"/>
      <c r="L56" s="228"/>
      <c r="M56" s="231"/>
      <c r="N56" s="358"/>
      <c r="P56" s="77"/>
      <c r="Q56" s="77"/>
      <c r="R56" s="77"/>
      <c r="S56" s="77"/>
    </row>
    <row r="57" spans="1:20" ht="15" customHeight="1" x14ac:dyDescent="0.3">
      <c r="A57" s="352"/>
      <c r="B57" s="13"/>
      <c r="C57" s="108"/>
      <c r="D57" s="15"/>
      <c r="E57" s="14"/>
      <c r="F57" s="138"/>
      <c r="G57" s="75"/>
      <c r="H57" s="258">
        <v>46353</v>
      </c>
      <c r="I57" s="209">
        <v>46367</v>
      </c>
      <c r="J57" s="229"/>
      <c r="K57" s="229"/>
      <c r="L57" s="230"/>
      <c r="M57" s="231"/>
      <c r="N57" s="359"/>
      <c r="P57" s="77"/>
      <c r="Q57" s="77"/>
      <c r="R57" s="77"/>
      <c r="S57" s="77"/>
    </row>
    <row r="58" spans="1:20" ht="15" customHeight="1" x14ac:dyDescent="0.3">
      <c r="A58" s="352"/>
      <c r="B58" s="27"/>
      <c r="C58" s="109"/>
      <c r="D58" s="29"/>
      <c r="E58" s="28"/>
      <c r="F58" s="139"/>
      <c r="G58" s="264"/>
      <c r="H58" s="259">
        <f t="shared" ref="H58:I58" si="26">(H57-H56+1)/7</f>
        <v>5.5714285714285712</v>
      </c>
      <c r="I58" s="205">
        <f t="shared" si="26"/>
        <v>0.7142857142857143</v>
      </c>
      <c r="J58" s="233"/>
      <c r="K58" s="232"/>
      <c r="L58" s="233"/>
      <c r="M58" s="234"/>
      <c r="N58" s="360"/>
      <c r="P58" s="77"/>
      <c r="Q58" s="77"/>
      <c r="R58" s="77"/>
      <c r="S58" s="77"/>
    </row>
    <row r="59" spans="1:20" ht="15" customHeight="1" x14ac:dyDescent="0.3">
      <c r="A59" s="352"/>
      <c r="B59" s="13" t="s">
        <v>135</v>
      </c>
      <c r="C59" s="108"/>
      <c r="D59" s="15">
        <v>14</v>
      </c>
      <c r="E59" s="14">
        <v>8</v>
      </c>
      <c r="F59" s="138">
        <f>C59+D59+E59</f>
        <v>22</v>
      </c>
      <c r="G59" s="279">
        <v>46350</v>
      </c>
      <c r="H59" s="258">
        <v>46350</v>
      </c>
      <c r="I59" s="229"/>
      <c r="J59" s="228"/>
      <c r="K59" s="228"/>
      <c r="L59" s="228"/>
      <c r="M59" s="231"/>
      <c r="N59" s="361"/>
      <c r="P59" s="77"/>
      <c r="Q59" s="77"/>
      <c r="R59" s="77"/>
      <c r="S59" s="77"/>
    </row>
    <row r="60" spans="1:20" ht="15" customHeight="1" x14ac:dyDescent="0.3">
      <c r="A60" s="352"/>
      <c r="B60" s="13"/>
      <c r="C60" s="108"/>
      <c r="D60" s="15"/>
      <c r="E60" s="14"/>
      <c r="F60" s="138"/>
      <c r="G60" s="75"/>
      <c r="H60" s="258">
        <v>46387</v>
      </c>
      <c r="I60" s="229"/>
      <c r="J60" s="229"/>
      <c r="K60" s="229"/>
      <c r="L60" s="230"/>
      <c r="M60" s="231"/>
      <c r="N60" s="362"/>
      <c r="P60" s="77"/>
      <c r="Q60" s="77"/>
      <c r="R60" s="77"/>
      <c r="S60" s="77"/>
    </row>
    <row r="61" spans="1:20" ht="15" customHeight="1" x14ac:dyDescent="0.3">
      <c r="A61" s="352"/>
      <c r="B61" s="27"/>
      <c r="C61" s="109"/>
      <c r="D61" s="29"/>
      <c r="E61" s="28"/>
      <c r="F61" s="139"/>
      <c r="G61" s="264"/>
      <c r="H61" s="259">
        <f t="shared" ref="H61" si="27">(H60-H59+1)/7</f>
        <v>5.4285714285714288</v>
      </c>
      <c r="I61" s="233"/>
      <c r="J61" s="233"/>
      <c r="K61" s="232"/>
      <c r="L61" s="233"/>
      <c r="M61" s="234"/>
      <c r="N61" s="363"/>
      <c r="P61" s="77"/>
      <c r="Q61" s="77"/>
      <c r="R61" s="77"/>
      <c r="S61" s="77"/>
    </row>
    <row r="62" spans="1:20" ht="15" customHeight="1" x14ac:dyDescent="0.3">
      <c r="A62" s="352"/>
      <c r="B62" s="13" t="s">
        <v>136</v>
      </c>
      <c r="C62" s="108">
        <v>1</v>
      </c>
      <c r="D62" s="15">
        <v>13</v>
      </c>
      <c r="E62" s="14">
        <v>8</v>
      </c>
      <c r="F62" s="138">
        <f t="shared" ref="F62" si="28">C62+D62+E62</f>
        <v>22</v>
      </c>
      <c r="G62" s="279">
        <v>46385</v>
      </c>
      <c r="H62" s="258">
        <v>46385</v>
      </c>
      <c r="I62" s="229"/>
      <c r="J62" s="228"/>
      <c r="K62" s="228"/>
      <c r="L62" s="228"/>
      <c r="M62" s="231"/>
      <c r="N62" s="361"/>
      <c r="P62" s="77"/>
      <c r="Q62" s="77"/>
      <c r="R62" s="77"/>
      <c r="S62" s="77"/>
    </row>
    <row r="63" spans="1:20" ht="15" customHeight="1" x14ac:dyDescent="0.3">
      <c r="A63" s="352"/>
      <c r="B63" s="13"/>
      <c r="C63" s="108"/>
      <c r="D63" s="15"/>
      <c r="E63" s="14"/>
      <c r="F63" s="138"/>
      <c r="G63" s="75"/>
      <c r="H63" s="258">
        <v>46423</v>
      </c>
      <c r="I63" s="229"/>
      <c r="J63" s="229"/>
      <c r="K63" s="229"/>
      <c r="L63" s="230"/>
      <c r="M63" s="231"/>
      <c r="N63" s="362"/>
      <c r="P63" s="77"/>
      <c r="Q63" s="77"/>
      <c r="R63" s="77"/>
      <c r="S63" s="77"/>
    </row>
    <row r="64" spans="1:20" ht="15" customHeight="1" x14ac:dyDescent="0.3">
      <c r="A64" s="352"/>
      <c r="B64" s="27"/>
      <c r="C64" s="109"/>
      <c r="D64" s="29"/>
      <c r="E64" s="28"/>
      <c r="F64" s="139"/>
      <c r="G64" s="264"/>
      <c r="H64" s="259">
        <f t="shared" ref="H64" si="29">(H63-H62+1)/7</f>
        <v>5.5714285714285712</v>
      </c>
      <c r="I64" s="233"/>
      <c r="J64" s="233"/>
      <c r="K64" s="232"/>
      <c r="L64" s="233"/>
      <c r="M64" s="234"/>
      <c r="N64" s="363"/>
      <c r="P64" s="77"/>
      <c r="Q64" s="77"/>
      <c r="R64" s="77"/>
      <c r="S64" s="77"/>
    </row>
    <row r="65" spans="1:19" ht="15" customHeight="1" x14ac:dyDescent="0.3">
      <c r="A65" s="352"/>
      <c r="B65" s="13" t="s">
        <v>137</v>
      </c>
      <c r="C65" s="108"/>
      <c r="D65" s="15">
        <v>10</v>
      </c>
      <c r="E65" s="14">
        <v>8</v>
      </c>
      <c r="F65" s="138">
        <f t="shared" ref="F65" si="30">C65+D65+E65</f>
        <v>18</v>
      </c>
      <c r="G65" s="279">
        <v>46420</v>
      </c>
      <c r="H65" s="258">
        <v>46420</v>
      </c>
      <c r="I65" s="229"/>
      <c r="J65" s="228"/>
      <c r="K65" s="228"/>
      <c r="L65" s="228"/>
      <c r="M65" s="231"/>
      <c r="N65" s="361"/>
      <c r="P65" s="77"/>
      <c r="Q65" s="77"/>
      <c r="R65" s="77"/>
      <c r="S65" s="77"/>
    </row>
    <row r="66" spans="1:19" ht="15" customHeight="1" x14ac:dyDescent="0.3">
      <c r="A66" s="352"/>
      <c r="B66" s="13"/>
      <c r="C66" s="108"/>
      <c r="D66" s="15"/>
      <c r="E66" s="14"/>
      <c r="F66" s="138"/>
      <c r="G66" s="16"/>
      <c r="H66" s="258">
        <v>46458</v>
      </c>
      <c r="I66" s="229"/>
      <c r="J66" s="229"/>
      <c r="K66" s="229"/>
      <c r="L66" s="230"/>
      <c r="M66" s="231"/>
      <c r="N66" s="362"/>
      <c r="P66" s="77"/>
      <c r="Q66" s="77"/>
      <c r="R66" s="77"/>
      <c r="S66" s="77"/>
    </row>
    <row r="67" spans="1:19" ht="15" customHeight="1" thickBot="1" x14ac:dyDescent="0.35">
      <c r="A67" s="353"/>
      <c r="B67" s="47"/>
      <c r="C67" s="111"/>
      <c r="D67" s="49"/>
      <c r="E67" s="48"/>
      <c r="F67" s="105"/>
      <c r="G67" s="50"/>
      <c r="H67" s="265">
        <f t="shared" ref="H67" si="31">(H66-H65+1)/7</f>
        <v>5.5714285714285712</v>
      </c>
      <c r="I67" s="236"/>
      <c r="J67" s="236"/>
      <c r="K67" s="235"/>
      <c r="L67" s="236"/>
      <c r="M67" s="237"/>
      <c r="N67" s="364"/>
      <c r="P67" s="77"/>
      <c r="Q67" s="77"/>
      <c r="R67" s="77"/>
      <c r="S67" s="77"/>
    </row>
    <row r="68" spans="1:19" ht="24" customHeight="1" thickBot="1" x14ac:dyDescent="0.35">
      <c r="A68" s="343" t="s">
        <v>10</v>
      </c>
      <c r="B68" s="344"/>
      <c r="C68" s="200">
        <f>SUM(C41:C67)</f>
        <v>49</v>
      </c>
      <c r="D68" s="58">
        <f>SUM(D41:D67)</f>
        <v>65</v>
      </c>
      <c r="E68" s="56">
        <f>SUM(E41:E67)</f>
        <v>64</v>
      </c>
      <c r="F68" s="140">
        <f>SUM(C68:E68)</f>
        <v>178</v>
      </c>
      <c r="G68" s="273" t="s">
        <v>183</v>
      </c>
      <c r="H68" s="453" t="s">
        <v>42</v>
      </c>
      <c r="I68" s="454"/>
      <c r="J68" s="454"/>
      <c r="K68" s="454"/>
      <c r="L68" s="455"/>
      <c r="M68" s="61">
        <f>AVERAGE(M41:M67)</f>
        <v>18.028571428571432</v>
      </c>
      <c r="N68" s="62" t="s">
        <v>41</v>
      </c>
    </row>
    <row r="69" spans="1:19" ht="24" customHeight="1" thickBot="1" x14ac:dyDescent="0.35">
      <c r="A69" s="345" t="s">
        <v>69</v>
      </c>
      <c r="B69" s="346"/>
      <c r="C69" s="112">
        <f>C40+C68</f>
        <v>58</v>
      </c>
      <c r="D69" s="114">
        <f>D40+D68</f>
        <v>139</v>
      </c>
      <c r="E69" s="57">
        <f>E40+E68</f>
        <v>80</v>
      </c>
      <c r="F69" s="140">
        <f>SUM(C69:E69)</f>
        <v>277</v>
      </c>
      <c r="G69" s="273" t="s">
        <v>183</v>
      </c>
      <c r="H69" s="456" t="s">
        <v>70</v>
      </c>
      <c r="I69" s="457"/>
      <c r="J69" s="457"/>
      <c r="K69" s="457"/>
      <c r="L69" s="458"/>
      <c r="M69" s="61">
        <f>AVERAGE(M40,M68)</f>
        <v>15.425000000000001</v>
      </c>
      <c r="N69" s="62" t="s">
        <v>41</v>
      </c>
    </row>
    <row r="70" spans="1:19" ht="45.75" customHeight="1" x14ac:dyDescent="0.3">
      <c r="A70" s="347" t="s">
        <v>184</v>
      </c>
      <c r="B70" s="347"/>
      <c r="C70" s="347"/>
      <c r="D70" s="347"/>
      <c r="E70" s="347"/>
      <c r="F70" s="347"/>
      <c r="G70" s="347"/>
      <c r="H70" s="347"/>
      <c r="I70" s="347"/>
      <c r="J70" s="347"/>
      <c r="K70" s="347"/>
      <c r="L70" s="347"/>
      <c r="M70" s="347"/>
      <c r="N70" s="347"/>
    </row>
    <row r="71" spans="1:19" ht="17.25" x14ac:dyDescent="0.3">
      <c r="A71" s="194"/>
      <c r="I71" s="39"/>
    </row>
    <row r="72" spans="1:19" x14ac:dyDescent="0.3">
      <c r="H72" s="39"/>
      <c r="I72" s="39"/>
    </row>
    <row r="73" spans="1:19" x14ac:dyDescent="0.3">
      <c r="C73" s="39"/>
      <c r="D73" s="39"/>
      <c r="H73" s="39"/>
    </row>
  </sheetData>
  <mergeCells count="60">
    <mergeCell ref="A70:N70"/>
    <mergeCell ref="N59:N61"/>
    <mergeCell ref="N62:N64"/>
    <mergeCell ref="N65:N67"/>
    <mergeCell ref="A68:B68"/>
    <mergeCell ref="H68:L68"/>
    <mergeCell ref="A69:B69"/>
    <mergeCell ref="H69:L69"/>
    <mergeCell ref="A40:B40"/>
    <mergeCell ref="H40:L40"/>
    <mergeCell ref="P40:Q40"/>
    <mergeCell ref="A41:A67"/>
    <mergeCell ref="N41:N43"/>
    <mergeCell ref="N44:N46"/>
    <mergeCell ref="N47:N49"/>
    <mergeCell ref="N50:N52"/>
    <mergeCell ref="N53:N55"/>
    <mergeCell ref="N56:N58"/>
    <mergeCell ref="A16:A39"/>
    <mergeCell ref="N16:N18"/>
    <mergeCell ref="N19:N21"/>
    <mergeCell ref="N22:N24"/>
    <mergeCell ref="N25:N27"/>
    <mergeCell ref="N28:N30"/>
    <mergeCell ref="N31:N33"/>
    <mergeCell ref="N34:N36"/>
    <mergeCell ref="N37:N39"/>
    <mergeCell ref="N12:N15"/>
    <mergeCell ref="C13:D14"/>
    <mergeCell ref="E13:E14"/>
    <mergeCell ref="G13:M13"/>
    <mergeCell ref="G14:G15"/>
    <mergeCell ref="I14:L14"/>
    <mergeCell ref="M14:M15"/>
    <mergeCell ref="A9:B9"/>
    <mergeCell ref="C9:F9"/>
    <mergeCell ref="G9:H9"/>
    <mergeCell ref="I9:N9"/>
    <mergeCell ref="A11:B11"/>
    <mergeCell ref="A12:A15"/>
    <mergeCell ref="B12:B15"/>
    <mergeCell ref="C12:E12"/>
    <mergeCell ref="F12:F15"/>
    <mergeCell ref="G12:M12"/>
    <mergeCell ref="A6:B6"/>
    <mergeCell ref="C6:F6"/>
    <mergeCell ref="G6:H6"/>
    <mergeCell ref="I6:N8"/>
    <mergeCell ref="A7:B7"/>
    <mergeCell ref="C7:F7"/>
    <mergeCell ref="G7:H7"/>
    <mergeCell ref="A8:B8"/>
    <mergeCell ref="C8:F8"/>
    <mergeCell ref="G8:H8"/>
    <mergeCell ref="A2:N2"/>
    <mergeCell ref="A4:B4"/>
    <mergeCell ref="A5:B5"/>
    <mergeCell ref="C5:F5"/>
    <mergeCell ref="G5:H5"/>
    <mergeCell ref="I5:N5"/>
  </mergeCells>
  <phoneticPr fontId="2" type="noConversion"/>
  <printOptions horizontalCentered="1"/>
  <pageMargins left="0.31496062992125984" right="0.31496062992125984" top="0.74803149606299213" bottom="0.39370078740157483" header="0.31496062992125984" footer="0.31496062992125984"/>
  <pageSetup paperSize="9" scale="5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A8B5-EB3C-4670-AC29-291765ADAF96}">
  <sheetPr>
    <pageSetUpPr fitToPage="1"/>
  </sheetPr>
  <dimension ref="A1:U73"/>
  <sheetViews>
    <sheetView showGridLines="0" topLeftCell="A23" workbookViewId="0">
      <selection activeCell="G46" sqref="G46"/>
    </sheetView>
  </sheetViews>
  <sheetFormatPr defaultColWidth="9" defaultRowHeight="16.5" x14ac:dyDescent="0.3"/>
  <cols>
    <col min="1" max="1" width="10.5" style="5" customWidth="1"/>
    <col min="2" max="2" width="13" style="5" customWidth="1"/>
    <col min="3" max="6" width="6.375" style="5" customWidth="1"/>
    <col min="7" max="7" width="13.125" style="5" customWidth="1"/>
    <col min="8" max="12" width="11.625" style="5" customWidth="1"/>
    <col min="13" max="13" width="10.125" style="5" customWidth="1"/>
    <col min="14" max="14" width="18" style="100" customWidth="1"/>
    <col min="15" max="15" width="5.625" style="5" customWidth="1"/>
    <col min="16" max="16" width="15.625" style="5" hidden="1" customWidth="1"/>
    <col min="17" max="18" width="11.75" style="5" hidden="1" customWidth="1"/>
    <col min="19" max="24" width="8.75" style="5" customWidth="1"/>
    <col min="25" max="16384" width="9" style="5"/>
  </cols>
  <sheetData>
    <row r="1" spans="1:19" ht="20.25" x14ac:dyDescent="0.3">
      <c r="A1" s="254" t="s">
        <v>177</v>
      </c>
    </row>
    <row r="2" spans="1:19" s="1" customFormat="1" ht="39" customHeight="1" x14ac:dyDescent="0.3">
      <c r="A2" s="417" t="s">
        <v>126</v>
      </c>
      <c r="B2" s="417"/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</row>
    <row r="3" spans="1:19" ht="22.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4">
        <v>46079</v>
      </c>
    </row>
    <row r="4" spans="1:19" ht="24" customHeight="1" x14ac:dyDescent="0.3">
      <c r="A4" s="418" t="s">
        <v>0</v>
      </c>
      <c r="B4" s="419"/>
      <c r="C4" s="2"/>
      <c r="D4" s="2"/>
      <c r="E4" s="2"/>
      <c r="F4" s="2"/>
      <c r="G4" s="2"/>
      <c r="H4" s="6"/>
      <c r="I4" s="6"/>
      <c r="J4" s="6"/>
      <c r="K4" s="6"/>
      <c r="L4" s="6"/>
      <c r="M4" s="6"/>
      <c r="N4" s="7"/>
    </row>
    <row r="5" spans="1:19" ht="35.25" customHeight="1" thickBot="1" x14ac:dyDescent="0.35">
      <c r="A5" s="420" t="s">
        <v>1</v>
      </c>
      <c r="B5" s="421"/>
      <c r="C5" s="422" t="s">
        <v>186</v>
      </c>
      <c r="D5" s="423"/>
      <c r="E5" s="424"/>
      <c r="F5" s="420"/>
      <c r="G5" s="422" t="s">
        <v>95</v>
      </c>
      <c r="H5" s="425"/>
      <c r="I5" s="426" t="s">
        <v>5</v>
      </c>
      <c r="J5" s="424"/>
      <c r="K5" s="424"/>
      <c r="L5" s="424"/>
      <c r="M5" s="424"/>
      <c r="N5" s="424"/>
    </row>
    <row r="6" spans="1:19" ht="24" customHeight="1" x14ac:dyDescent="0.3">
      <c r="A6" s="427" t="s">
        <v>9</v>
      </c>
      <c r="B6" s="428"/>
      <c r="C6" s="429">
        <f>F40</f>
        <v>99</v>
      </c>
      <c r="D6" s="430"/>
      <c r="E6" s="430"/>
      <c r="F6" s="431"/>
      <c r="G6" s="432"/>
      <c r="H6" s="433"/>
      <c r="I6" s="434" t="s">
        <v>185</v>
      </c>
      <c r="J6" s="435"/>
      <c r="K6" s="435"/>
      <c r="L6" s="435"/>
      <c r="M6" s="435"/>
      <c r="N6" s="435"/>
    </row>
    <row r="7" spans="1:19" ht="24" customHeight="1" x14ac:dyDescent="0.3">
      <c r="A7" s="440" t="s">
        <v>73</v>
      </c>
      <c r="B7" s="441"/>
      <c r="C7" s="442">
        <f>SUM(F41:F64)</f>
        <v>168</v>
      </c>
      <c r="D7" s="443"/>
      <c r="E7" s="443"/>
      <c r="F7" s="444"/>
      <c r="G7" s="442"/>
      <c r="H7" s="444"/>
      <c r="I7" s="436"/>
      <c r="J7" s="437"/>
      <c r="K7" s="437"/>
      <c r="L7" s="437"/>
      <c r="M7" s="437"/>
      <c r="N7" s="437"/>
    </row>
    <row r="8" spans="1:19" ht="24" customHeight="1" thickBot="1" x14ac:dyDescent="0.35">
      <c r="A8" s="445" t="s">
        <v>127</v>
      </c>
      <c r="B8" s="446"/>
      <c r="C8" s="392"/>
      <c r="D8" s="447"/>
      <c r="E8" s="447"/>
      <c r="F8" s="393"/>
      <c r="G8" s="392">
        <f>SUM(F56:F67)</f>
        <v>76</v>
      </c>
      <c r="H8" s="393"/>
      <c r="I8" s="438"/>
      <c r="J8" s="439"/>
      <c r="K8" s="439"/>
      <c r="L8" s="439"/>
      <c r="M8" s="439"/>
      <c r="N8" s="439"/>
    </row>
    <row r="9" spans="1:19" ht="24" customHeight="1" x14ac:dyDescent="0.3">
      <c r="A9" s="407" t="s">
        <v>10</v>
      </c>
      <c r="B9" s="408"/>
      <c r="C9" s="409">
        <f>SUM(C6:F8)</f>
        <v>267</v>
      </c>
      <c r="D9" s="410"/>
      <c r="E9" s="410"/>
      <c r="F9" s="411"/>
      <c r="G9" s="412">
        <f>G8</f>
        <v>76</v>
      </c>
      <c r="H9" s="413"/>
      <c r="I9" s="412"/>
      <c r="J9" s="414"/>
      <c r="K9" s="414"/>
      <c r="L9" s="414"/>
      <c r="M9" s="414"/>
      <c r="N9" s="414"/>
    </row>
    <row r="10" spans="1:19" ht="12" customHeight="1" x14ac:dyDescent="0.3">
      <c r="A10" s="8"/>
      <c r="B10" s="8"/>
      <c r="C10" s="8"/>
      <c r="D10" s="8"/>
      <c r="E10" s="125"/>
      <c r="F10" s="8"/>
      <c r="G10" s="8"/>
      <c r="H10" s="125"/>
      <c r="I10" s="8"/>
      <c r="J10" s="8"/>
      <c r="K10" s="8"/>
      <c r="L10" s="8"/>
      <c r="M10" s="8"/>
      <c r="N10" s="8"/>
      <c r="S10" s="39"/>
    </row>
    <row r="11" spans="1:19" ht="29.25" customHeight="1" thickBot="1" x14ac:dyDescent="0.35">
      <c r="A11" s="415" t="s">
        <v>11</v>
      </c>
      <c r="B11" s="416"/>
      <c r="C11" s="8"/>
      <c r="D11" s="8"/>
      <c r="E11" s="8"/>
      <c r="F11" s="8"/>
      <c r="G11" s="8"/>
      <c r="H11" s="195"/>
      <c r="I11" s="195"/>
      <c r="J11" s="195"/>
      <c r="K11" s="195"/>
      <c r="L11" s="195"/>
      <c r="M11" s="195"/>
      <c r="N11" s="195"/>
    </row>
    <row r="12" spans="1:19" ht="27.75" customHeight="1" x14ac:dyDescent="0.3">
      <c r="A12" s="394" t="s">
        <v>12</v>
      </c>
      <c r="B12" s="397" t="s">
        <v>13</v>
      </c>
      <c r="C12" s="399" t="s">
        <v>14</v>
      </c>
      <c r="D12" s="399"/>
      <c r="E12" s="400"/>
      <c r="F12" s="401" t="s">
        <v>15</v>
      </c>
      <c r="G12" s="404" t="s">
        <v>18</v>
      </c>
      <c r="H12" s="405"/>
      <c r="I12" s="405"/>
      <c r="J12" s="405"/>
      <c r="K12" s="405"/>
      <c r="L12" s="405"/>
      <c r="M12" s="406"/>
      <c r="N12" s="368" t="s">
        <v>162</v>
      </c>
    </row>
    <row r="13" spans="1:19" ht="22.5" customHeight="1" x14ac:dyDescent="0.3">
      <c r="A13" s="395"/>
      <c r="B13" s="398"/>
      <c r="C13" s="371" t="s">
        <v>96</v>
      </c>
      <c r="D13" s="372"/>
      <c r="E13" s="375" t="s">
        <v>139</v>
      </c>
      <c r="F13" s="402"/>
      <c r="G13" s="377" t="s">
        <v>182</v>
      </c>
      <c r="H13" s="378"/>
      <c r="I13" s="378"/>
      <c r="J13" s="378"/>
      <c r="K13" s="378"/>
      <c r="L13" s="378"/>
      <c r="M13" s="379"/>
      <c r="N13" s="369"/>
    </row>
    <row r="14" spans="1:19" ht="22.5" customHeight="1" x14ac:dyDescent="0.3">
      <c r="A14" s="395"/>
      <c r="B14" s="398"/>
      <c r="C14" s="373"/>
      <c r="D14" s="374"/>
      <c r="E14" s="376"/>
      <c r="F14" s="402"/>
      <c r="G14" s="380" t="s">
        <v>178</v>
      </c>
      <c r="H14" s="256" t="s">
        <v>180</v>
      </c>
      <c r="I14" s="448" t="s">
        <v>179</v>
      </c>
      <c r="J14" s="382"/>
      <c r="K14" s="382"/>
      <c r="L14" s="449"/>
      <c r="M14" s="450" t="s">
        <v>27</v>
      </c>
      <c r="N14" s="369"/>
    </row>
    <row r="15" spans="1:19" ht="34.5" customHeight="1" thickBot="1" x14ac:dyDescent="0.35">
      <c r="A15" s="396"/>
      <c r="B15" s="385"/>
      <c r="C15" s="257" t="s">
        <v>98</v>
      </c>
      <c r="D15" s="104" t="s">
        <v>99</v>
      </c>
      <c r="E15" s="104" t="s">
        <v>98</v>
      </c>
      <c r="F15" s="403"/>
      <c r="G15" s="381"/>
      <c r="H15" s="255" t="s">
        <v>181</v>
      </c>
      <c r="I15" s="278" t="s">
        <v>24</v>
      </c>
      <c r="J15" s="10" t="s">
        <v>25</v>
      </c>
      <c r="K15" s="10" t="s">
        <v>111</v>
      </c>
      <c r="L15" s="11" t="s">
        <v>26</v>
      </c>
      <c r="M15" s="403"/>
      <c r="N15" s="370"/>
    </row>
    <row r="16" spans="1:19" ht="16.5" customHeight="1" x14ac:dyDescent="0.3">
      <c r="A16" s="351" t="s">
        <v>74</v>
      </c>
      <c r="B16" s="196" t="s">
        <v>142</v>
      </c>
      <c r="C16" s="108"/>
      <c r="D16" s="15"/>
      <c r="E16" s="14">
        <v>7</v>
      </c>
      <c r="F16" s="138">
        <f t="shared" ref="F16" si="0">C16+D16+E16</f>
        <v>7</v>
      </c>
      <c r="G16" s="117">
        <v>45929</v>
      </c>
      <c r="H16" s="266"/>
      <c r="I16" s="19">
        <v>45929</v>
      </c>
      <c r="J16" s="37">
        <v>45944</v>
      </c>
      <c r="K16" s="37">
        <v>45978</v>
      </c>
      <c r="L16" s="37">
        <v>46010</v>
      </c>
      <c r="M16" s="21">
        <f>(L17-I16+1)/7</f>
        <v>14.714285714285714</v>
      </c>
      <c r="N16" s="386" t="s">
        <v>168</v>
      </c>
    </row>
    <row r="17" spans="1:20" ht="16.5" customHeight="1" x14ac:dyDescent="0.3">
      <c r="A17" s="352"/>
      <c r="B17" s="196"/>
      <c r="C17" s="108"/>
      <c r="D17" s="15"/>
      <c r="E17" s="14"/>
      <c r="F17" s="138"/>
      <c r="G17" s="118"/>
      <c r="H17" s="267"/>
      <c r="I17" s="19">
        <v>45932</v>
      </c>
      <c r="J17" s="19">
        <v>45980</v>
      </c>
      <c r="K17" s="19">
        <v>46009</v>
      </c>
      <c r="L17" s="120">
        <v>46031</v>
      </c>
      <c r="M17" s="24"/>
      <c r="N17" s="387"/>
    </row>
    <row r="18" spans="1:20" ht="16.5" customHeight="1" x14ac:dyDescent="0.3">
      <c r="A18" s="352"/>
      <c r="B18" s="198"/>
      <c r="C18" s="109"/>
      <c r="D18" s="29"/>
      <c r="E18" s="28"/>
      <c r="F18" s="139"/>
      <c r="G18" s="119"/>
      <c r="H18" s="268"/>
      <c r="I18" s="33">
        <f t="shared" ref="I18:L18" si="1">(I17-I16+1)/7</f>
        <v>0.5714285714285714</v>
      </c>
      <c r="J18" s="33">
        <f t="shared" si="1"/>
        <v>5.2857142857142856</v>
      </c>
      <c r="K18" s="33">
        <f t="shared" si="1"/>
        <v>4.5714285714285712</v>
      </c>
      <c r="L18" s="33">
        <f t="shared" si="1"/>
        <v>3.1428571428571428</v>
      </c>
      <c r="M18" s="35"/>
      <c r="N18" s="388"/>
    </row>
    <row r="19" spans="1:20" ht="16.5" customHeight="1" x14ac:dyDescent="0.3">
      <c r="A19" s="352"/>
      <c r="B19" s="212" t="s">
        <v>143</v>
      </c>
      <c r="C19" s="110"/>
      <c r="D19" s="43"/>
      <c r="E19" s="42">
        <v>6</v>
      </c>
      <c r="F19" s="138">
        <f>C19+D19+E19</f>
        <v>6</v>
      </c>
      <c r="G19" s="117">
        <v>45971</v>
      </c>
      <c r="H19" s="266"/>
      <c r="I19" s="37">
        <v>45971</v>
      </c>
      <c r="J19" s="37">
        <v>45980</v>
      </c>
      <c r="K19" s="37">
        <v>46020</v>
      </c>
      <c r="L19" s="37">
        <v>46034</v>
      </c>
      <c r="M19" s="21">
        <f>(L20-I19+1)/7</f>
        <v>11.714285714285714</v>
      </c>
      <c r="N19" s="389" t="s">
        <v>147</v>
      </c>
      <c r="P19" s="26"/>
      <c r="S19" s="39"/>
      <c r="T19" s="39"/>
    </row>
    <row r="20" spans="1:20" ht="16.5" customHeight="1" x14ac:dyDescent="0.3">
      <c r="A20" s="352"/>
      <c r="B20" s="213"/>
      <c r="C20" s="108"/>
      <c r="D20" s="15"/>
      <c r="E20" s="14"/>
      <c r="F20" s="138"/>
      <c r="G20" s="118"/>
      <c r="H20" s="267"/>
      <c r="I20" s="19">
        <v>45975</v>
      </c>
      <c r="J20" s="19">
        <v>46017</v>
      </c>
      <c r="K20" s="19">
        <v>46033</v>
      </c>
      <c r="L20" s="120">
        <v>46052</v>
      </c>
      <c r="M20" s="24"/>
      <c r="N20" s="390"/>
      <c r="S20" s="39"/>
    </row>
    <row r="21" spans="1:20" ht="16.5" customHeight="1" x14ac:dyDescent="0.3">
      <c r="A21" s="352"/>
      <c r="B21" s="215"/>
      <c r="C21" s="109"/>
      <c r="D21" s="29"/>
      <c r="E21" s="28"/>
      <c r="F21" s="139"/>
      <c r="G21" s="119"/>
      <c r="H21" s="268"/>
      <c r="I21" s="33">
        <f t="shared" ref="I21:L21" si="2">(I20-I19+1)/7</f>
        <v>0.7142857142857143</v>
      </c>
      <c r="J21" s="33">
        <f t="shared" si="2"/>
        <v>5.4285714285714288</v>
      </c>
      <c r="K21" s="193">
        <f t="shared" si="2"/>
        <v>2</v>
      </c>
      <c r="L21" s="33">
        <f t="shared" si="2"/>
        <v>2.7142857142857144</v>
      </c>
      <c r="M21" s="35"/>
      <c r="N21" s="391"/>
    </row>
    <row r="22" spans="1:20" ht="16.5" customHeight="1" x14ac:dyDescent="0.3">
      <c r="A22" s="352"/>
      <c r="B22" s="212" t="s">
        <v>144</v>
      </c>
      <c r="C22" s="110"/>
      <c r="D22" s="43">
        <v>16</v>
      </c>
      <c r="E22" s="239"/>
      <c r="F22" s="138">
        <f>C22+D22+E22</f>
        <v>16</v>
      </c>
      <c r="G22" s="117">
        <v>45971</v>
      </c>
      <c r="H22" s="266"/>
      <c r="I22" s="37">
        <v>45971</v>
      </c>
      <c r="J22" s="37">
        <v>45980</v>
      </c>
      <c r="K22" s="37">
        <v>46020</v>
      </c>
      <c r="L22" s="37">
        <v>46036</v>
      </c>
      <c r="M22" s="21">
        <f>(L23-I22+1)/7</f>
        <v>15.142857142857142</v>
      </c>
      <c r="N22" s="389" t="s">
        <v>187</v>
      </c>
    </row>
    <row r="23" spans="1:20" ht="16.5" customHeight="1" x14ac:dyDescent="0.3">
      <c r="A23" s="352"/>
      <c r="B23" s="213"/>
      <c r="C23" s="108"/>
      <c r="D23" s="15"/>
      <c r="E23" s="14"/>
      <c r="F23" s="138"/>
      <c r="G23" s="118"/>
      <c r="H23" s="267"/>
      <c r="I23" s="19">
        <v>45975</v>
      </c>
      <c r="J23" s="19">
        <v>46017</v>
      </c>
      <c r="K23" s="19">
        <v>46033</v>
      </c>
      <c r="L23" s="120">
        <v>46076</v>
      </c>
      <c r="M23" s="24"/>
      <c r="N23" s="390"/>
    </row>
    <row r="24" spans="1:20" ht="16.5" customHeight="1" x14ac:dyDescent="0.3">
      <c r="A24" s="352"/>
      <c r="B24" s="215"/>
      <c r="C24" s="109"/>
      <c r="D24" s="29"/>
      <c r="E24" s="28"/>
      <c r="F24" s="139"/>
      <c r="G24" s="119"/>
      <c r="H24" s="268"/>
      <c r="I24" s="33">
        <f t="shared" ref="I24:L24" si="3">(I23-I22+1)/7</f>
        <v>0.7142857142857143</v>
      </c>
      <c r="J24" s="33">
        <f t="shared" si="3"/>
        <v>5.4285714285714288</v>
      </c>
      <c r="K24" s="193">
        <f t="shared" si="3"/>
        <v>2</v>
      </c>
      <c r="L24" s="33">
        <f t="shared" si="3"/>
        <v>5.8571428571428568</v>
      </c>
      <c r="M24" s="35"/>
      <c r="N24" s="391"/>
    </row>
    <row r="25" spans="1:20" ht="16.5" customHeight="1" x14ac:dyDescent="0.3">
      <c r="A25" s="352"/>
      <c r="B25" s="196" t="s">
        <v>145</v>
      </c>
      <c r="C25" s="108"/>
      <c r="D25" s="15"/>
      <c r="E25" s="14">
        <v>3</v>
      </c>
      <c r="F25" s="138">
        <f>C25+D25+E25</f>
        <v>3</v>
      </c>
      <c r="G25" s="117">
        <v>46013</v>
      </c>
      <c r="H25" s="266"/>
      <c r="I25" s="37">
        <v>46013</v>
      </c>
      <c r="J25" s="37">
        <v>46020</v>
      </c>
      <c r="K25" s="37">
        <v>46055</v>
      </c>
      <c r="L25" s="201">
        <v>46086</v>
      </c>
      <c r="M25" s="202">
        <f>(L26-I25+1)/7</f>
        <v>12.428571428571429</v>
      </c>
      <c r="N25" s="357" t="s">
        <v>149</v>
      </c>
      <c r="P25" s="26"/>
      <c r="S25" s="39"/>
    </row>
    <row r="26" spans="1:20" ht="16.5" customHeight="1" x14ac:dyDescent="0.3">
      <c r="A26" s="352"/>
      <c r="B26" s="196"/>
      <c r="C26" s="108"/>
      <c r="D26" s="15"/>
      <c r="E26" s="214"/>
      <c r="F26" s="138"/>
      <c r="G26" s="118"/>
      <c r="H26" s="267"/>
      <c r="I26" s="19">
        <v>46017</v>
      </c>
      <c r="J26" s="19">
        <v>46050</v>
      </c>
      <c r="K26" s="19">
        <v>46082</v>
      </c>
      <c r="L26" s="203">
        <v>46099</v>
      </c>
      <c r="M26" s="204"/>
      <c r="N26" s="355"/>
    </row>
    <row r="27" spans="1:20" ht="16.5" customHeight="1" x14ac:dyDescent="0.3">
      <c r="A27" s="352"/>
      <c r="B27" s="215"/>
      <c r="C27" s="109"/>
      <c r="D27" s="29"/>
      <c r="E27" s="216"/>
      <c r="F27" s="139"/>
      <c r="G27" s="119"/>
      <c r="H27" s="268"/>
      <c r="I27" s="33">
        <f t="shared" ref="I27:L27" si="4">(I26-I25+1)/7</f>
        <v>0.7142857142857143</v>
      </c>
      <c r="J27" s="33">
        <f t="shared" si="4"/>
        <v>4.4285714285714288</v>
      </c>
      <c r="K27" s="193">
        <f t="shared" si="4"/>
        <v>4</v>
      </c>
      <c r="L27" s="205">
        <f t="shared" si="4"/>
        <v>2</v>
      </c>
      <c r="M27" s="206"/>
      <c r="N27" s="356"/>
    </row>
    <row r="28" spans="1:20" ht="16.5" customHeight="1" x14ac:dyDescent="0.3">
      <c r="A28" s="352"/>
      <c r="B28" s="196" t="s">
        <v>146</v>
      </c>
      <c r="C28" s="108">
        <v>9</v>
      </c>
      <c r="D28" s="15">
        <v>7</v>
      </c>
      <c r="E28" s="197"/>
      <c r="F28" s="138">
        <f>C28+D28+E28</f>
        <v>16</v>
      </c>
      <c r="G28" s="117">
        <v>46013</v>
      </c>
      <c r="H28" s="266"/>
      <c r="I28" s="37">
        <v>46013</v>
      </c>
      <c r="J28" s="37">
        <v>46020</v>
      </c>
      <c r="K28" s="37">
        <v>46055</v>
      </c>
      <c r="L28" s="201">
        <v>46087</v>
      </c>
      <c r="M28" s="202">
        <f>(L29-I28+1)/7</f>
        <v>13.285714285714286</v>
      </c>
      <c r="N28" s="357" t="s">
        <v>150</v>
      </c>
    </row>
    <row r="29" spans="1:20" ht="16.5" customHeight="1" x14ac:dyDescent="0.3">
      <c r="A29" s="352"/>
      <c r="B29" s="196"/>
      <c r="C29" s="108"/>
      <c r="D29" s="15"/>
      <c r="E29" s="214"/>
      <c r="F29" s="138"/>
      <c r="G29" s="118"/>
      <c r="H29" s="267"/>
      <c r="I29" s="19">
        <v>46017</v>
      </c>
      <c r="J29" s="19">
        <v>46050</v>
      </c>
      <c r="K29" s="19">
        <v>46082</v>
      </c>
      <c r="L29" s="203">
        <v>46105</v>
      </c>
      <c r="M29" s="204"/>
      <c r="N29" s="355"/>
    </row>
    <row r="30" spans="1:20" ht="16.5" customHeight="1" x14ac:dyDescent="0.3">
      <c r="A30" s="352"/>
      <c r="B30" s="215"/>
      <c r="C30" s="109"/>
      <c r="D30" s="29"/>
      <c r="E30" s="216"/>
      <c r="F30" s="139"/>
      <c r="G30" s="119"/>
      <c r="H30" s="268"/>
      <c r="I30" s="33">
        <f t="shared" ref="I30:L30" si="5">(I29-I28+1)/7</f>
        <v>0.7142857142857143</v>
      </c>
      <c r="J30" s="33">
        <f t="shared" si="5"/>
        <v>4.4285714285714288</v>
      </c>
      <c r="K30" s="193">
        <f t="shared" si="5"/>
        <v>4</v>
      </c>
      <c r="L30" s="205">
        <f t="shared" si="5"/>
        <v>2.7142857142857144</v>
      </c>
      <c r="M30" s="206"/>
      <c r="N30" s="356"/>
    </row>
    <row r="31" spans="1:20" ht="16.5" customHeight="1" x14ac:dyDescent="0.3">
      <c r="A31" s="352"/>
      <c r="B31" s="13" t="s">
        <v>86</v>
      </c>
      <c r="C31" s="108"/>
      <c r="D31" s="15">
        <v>14</v>
      </c>
      <c r="E31" s="197"/>
      <c r="F31" s="138">
        <f t="shared" ref="F31" si="6">C31+D31+E31</f>
        <v>14</v>
      </c>
      <c r="G31" s="117">
        <v>46041</v>
      </c>
      <c r="H31" s="266"/>
      <c r="I31" s="37">
        <v>46041</v>
      </c>
      <c r="J31" s="37">
        <v>46048</v>
      </c>
      <c r="K31" s="37">
        <v>46083</v>
      </c>
      <c r="L31" s="201">
        <v>46106</v>
      </c>
      <c r="M31" s="202">
        <f>(L32-I31+1)/7</f>
        <v>11.428571428571429</v>
      </c>
      <c r="N31" s="357" t="s">
        <v>151</v>
      </c>
      <c r="P31" s="26"/>
    </row>
    <row r="32" spans="1:20" ht="16.5" customHeight="1" x14ac:dyDescent="0.3">
      <c r="A32" s="352"/>
      <c r="B32" s="13"/>
      <c r="C32" s="108"/>
      <c r="D32" s="15"/>
      <c r="E32" s="214"/>
      <c r="F32" s="138"/>
      <c r="G32" s="118"/>
      <c r="H32" s="267"/>
      <c r="I32" s="19">
        <v>46045</v>
      </c>
      <c r="J32" s="19">
        <v>46081</v>
      </c>
      <c r="K32" s="19">
        <v>46103</v>
      </c>
      <c r="L32" s="203">
        <v>46120</v>
      </c>
      <c r="M32" s="204"/>
      <c r="N32" s="355"/>
    </row>
    <row r="33" spans="1:21" ht="16.5" customHeight="1" x14ac:dyDescent="0.3">
      <c r="A33" s="352"/>
      <c r="B33" s="217"/>
      <c r="C33" s="109"/>
      <c r="D33" s="29"/>
      <c r="E33" s="216"/>
      <c r="F33" s="139"/>
      <c r="G33" s="119"/>
      <c r="H33" s="268"/>
      <c r="I33" s="33">
        <f t="shared" ref="I33:L33" si="7">(I32-I31+1)/7</f>
        <v>0.7142857142857143</v>
      </c>
      <c r="J33" s="33">
        <f t="shared" si="7"/>
        <v>4.8571428571428568</v>
      </c>
      <c r="K33" s="193">
        <f t="shared" si="7"/>
        <v>3</v>
      </c>
      <c r="L33" s="205">
        <f t="shared" si="7"/>
        <v>2.1428571428571428</v>
      </c>
      <c r="M33" s="206"/>
      <c r="N33" s="356"/>
    </row>
    <row r="34" spans="1:21" ht="16.5" customHeight="1" x14ac:dyDescent="0.3">
      <c r="A34" s="352"/>
      <c r="B34" s="13" t="s">
        <v>87</v>
      </c>
      <c r="C34" s="108"/>
      <c r="D34" s="15">
        <v>18</v>
      </c>
      <c r="E34" s="14"/>
      <c r="F34" s="138">
        <f t="shared" ref="F34" si="8">C34+D34+E34</f>
        <v>18</v>
      </c>
      <c r="G34" s="82">
        <v>46062</v>
      </c>
      <c r="H34" s="269"/>
      <c r="I34" s="37">
        <v>46062</v>
      </c>
      <c r="J34" s="201">
        <v>46076</v>
      </c>
      <c r="K34" s="201">
        <v>46111</v>
      </c>
      <c r="L34" s="201">
        <v>46118</v>
      </c>
      <c r="M34" s="202">
        <f>(L35-I34+1)/7</f>
        <v>11.571428571428571</v>
      </c>
      <c r="N34" s="357" t="s">
        <v>152</v>
      </c>
    </row>
    <row r="35" spans="1:21" ht="16.5" customHeight="1" x14ac:dyDescent="0.3">
      <c r="A35" s="352"/>
      <c r="B35" s="13"/>
      <c r="C35" s="108"/>
      <c r="D35" s="15"/>
      <c r="E35" s="14"/>
      <c r="F35" s="138"/>
      <c r="G35" s="16"/>
      <c r="H35" s="270"/>
      <c r="I35" s="19">
        <v>46066</v>
      </c>
      <c r="J35" s="209">
        <v>46108</v>
      </c>
      <c r="K35" s="209">
        <v>46117</v>
      </c>
      <c r="L35" s="203">
        <v>46142</v>
      </c>
      <c r="M35" s="204"/>
      <c r="N35" s="355"/>
    </row>
    <row r="36" spans="1:21" ht="16.5" customHeight="1" x14ac:dyDescent="0.3">
      <c r="A36" s="352"/>
      <c r="B36" s="217"/>
      <c r="C36" s="109"/>
      <c r="D36" s="29"/>
      <c r="E36" s="28"/>
      <c r="F36" s="139"/>
      <c r="G36" s="30"/>
      <c r="H36" s="271"/>
      <c r="I36" s="33">
        <f t="shared" ref="I36:L36" si="9">(I35-I34+1)/7</f>
        <v>0.7142857142857143</v>
      </c>
      <c r="J36" s="205">
        <f t="shared" si="9"/>
        <v>4.7142857142857144</v>
      </c>
      <c r="K36" s="211">
        <f t="shared" si="9"/>
        <v>1</v>
      </c>
      <c r="L36" s="205">
        <f t="shared" si="9"/>
        <v>3.5714285714285716</v>
      </c>
      <c r="M36" s="206"/>
      <c r="N36" s="356"/>
    </row>
    <row r="37" spans="1:21" ht="16.5" customHeight="1" x14ac:dyDescent="0.3">
      <c r="A37" s="352"/>
      <c r="B37" s="13" t="s">
        <v>88</v>
      </c>
      <c r="C37" s="108"/>
      <c r="D37" s="15">
        <v>19</v>
      </c>
      <c r="E37" s="14"/>
      <c r="F37" s="138">
        <f t="shared" ref="F37" si="10">C37+D37+E37</f>
        <v>19</v>
      </c>
      <c r="G37" s="260">
        <v>46104</v>
      </c>
      <c r="H37" s="269"/>
      <c r="I37" s="201">
        <v>46104</v>
      </c>
      <c r="J37" s="201">
        <v>46111</v>
      </c>
      <c r="K37" s="209"/>
      <c r="L37" s="201">
        <v>46148</v>
      </c>
      <c r="M37" s="202">
        <f>(L38-I37+1)/7</f>
        <v>9.7142857142857135</v>
      </c>
      <c r="N37" s="365" t="s">
        <v>153</v>
      </c>
      <c r="P37" s="26"/>
    </row>
    <row r="38" spans="1:21" ht="16.5" customHeight="1" x14ac:dyDescent="0.3">
      <c r="A38" s="352"/>
      <c r="B38" s="13"/>
      <c r="C38" s="108"/>
      <c r="D38" s="15"/>
      <c r="E38" s="14"/>
      <c r="F38" s="138"/>
      <c r="G38" s="261"/>
      <c r="H38" s="270"/>
      <c r="I38" s="209">
        <v>46108</v>
      </c>
      <c r="J38" s="209">
        <v>46142</v>
      </c>
      <c r="K38" s="209"/>
      <c r="L38" s="203">
        <v>46171</v>
      </c>
      <c r="M38" s="204"/>
      <c r="N38" s="366"/>
    </row>
    <row r="39" spans="1:21" ht="16.5" customHeight="1" thickBot="1" x14ac:dyDescent="0.35">
      <c r="A39" s="353"/>
      <c r="B39" s="47"/>
      <c r="C39" s="111"/>
      <c r="D39" s="49"/>
      <c r="E39" s="48"/>
      <c r="F39" s="105"/>
      <c r="G39" s="262"/>
      <c r="H39" s="272"/>
      <c r="I39" s="219">
        <f t="shared" ref="I39:J39" si="11">(I38-I37+1)/7</f>
        <v>0.7142857142857143</v>
      </c>
      <c r="J39" s="219">
        <f t="shared" si="11"/>
        <v>4.5714285714285712</v>
      </c>
      <c r="K39" s="211"/>
      <c r="L39" s="219">
        <f t="shared" ref="L39" si="12">(L38-L37+1)/7</f>
        <v>3.4285714285714284</v>
      </c>
      <c r="M39" s="221"/>
      <c r="N39" s="367"/>
      <c r="R39" s="39"/>
    </row>
    <row r="40" spans="1:21" ht="24" customHeight="1" thickBot="1" x14ac:dyDescent="0.35">
      <c r="A40" s="348" t="s">
        <v>10</v>
      </c>
      <c r="B40" s="349"/>
      <c r="C40" s="222">
        <f>SUM(C16:C39)</f>
        <v>9</v>
      </c>
      <c r="D40" s="223">
        <f>SUM(D16:D39)</f>
        <v>74</v>
      </c>
      <c r="E40" s="224">
        <f>SUM(E16:E39)</f>
        <v>16</v>
      </c>
      <c r="F40" s="225">
        <f>SUM(C40:E40)</f>
        <v>99</v>
      </c>
      <c r="G40" s="263"/>
      <c r="H40" s="451" t="s">
        <v>42</v>
      </c>
      <c r="I40" s="451"/>
      <c r="J40" s="451"/>
      <c r="K40" s="451"/>
      <c r="L40" s="452"/>
      <c r="M40" s="226">
        <f>AVERAGE(M16:M39)</f>
        <v>12.5</v>
      </c>
      <c r="N40" s="227" t="s">
        <v>41</v>
      </c>
      <c r="P40" s="350" t="s">
        <v>43</v>
      </c>
      <c r="Q40" s="350"/>
    </row>
    <row r="41" spans="1:21" ht="15" customHeight="1" x14ac:dyDescent="0.3">
      <c r="A41" s="351" t="s">
        <v>128</v>
      </c>
      <c r="B41" s="63" t="s">
        <v>129</v>
      </c>
      <c r="C41" s="191">
        <v>6</v>
      </c>
      <c r="D41" s="65"/>
      <c r="E41" s="274">
        <v>8</v>
      </c>
      <c r="F41" s="248">
        <f>C41+D41+E41</f>
        <v>14</v>
      </c>
      <c r="G41" s="66">
        <v>46104</v>
      </c>
      <c r="H41" s="258">
        <v>46104</v>
      </c>
      <c r="I41" s="277">
        <v>45788</v>
      </c>
      <c r="J41" s="241">
        <v>46160</v>
      </c>
      <c r="K41" s="247"/>
      <c r="L41" s="241">
        <v>46188</v>
      </c>
      <c r="M41" s="242">
        <f>(L42-H41+1)/7</f>
        <v>16</v>
      </c>
      <c r="N41" s="354" t="s">
        <v>154</v>
      </c>
      <c r="O41" s="71"/>
      <c r="P41" s="5" t="s">
        <v>47</v>
      </c>
      <c r="Q41" s="72" t="e">
        <f>AVERAGE(I43,I46,I49,I52,I55,#REF!,#REF!,#REF!,#REF!,#REF!)</f>
        <v>#REF!</v>
      </c>
      <c r="R41" s="5">
        <v>1</v>
      </c>
      <c r="S41" s="39"/>
    </row>
    <row r="42" spans="1:21" ht="15" customHeight="1" x14ac:dyDescent="0.3">
      <c r="A42" s="352"/>
      <c r="B42" s="13"/>
      <c r="C42" s="108"/>
      <c r="D42" s="15"/>
      <c r="E42" s="275"/>
      <c r="F42" s="138"/>
      <c r="G42" s="16"/>
      <c r="H42" s="258">
        <v>46142</v>
      </c>
      <c r="I42" s="209">
        <v>45792</v>
      </c>
      <c r="J42" s="209">
        <v>46185</v>
      </c>
      <c r="K42" s="229"/>
      <c r="L42" s="203">
        <v>46215</v>
      </c>
      <c r="M42" s="204"/>
      <c r="N42" s="355"/>
      <c r="O42" s="71"/>
      <c r="P42" s="5" t="s">
        <v>48</v>
      </c>
      <c r="Q42" s="72" t="e">
        <f>AVERAGE(J43,J46,J49,J52,J55,#REF!,#REF!,#REF!,#REF!,#REF!)</f>
        <v>#REF!</v>
      </c>
      <c r="R42" s="5">
        <v>6</v>
      </c>
    </row>
    <row r="43" spans="1:21" ht="15" customHeight="1" x14ac:dyDescent="0.3">
      <c r="A43" s="352"/>
      <c r="B43" s="27"/>
      <c r="C43" s="109"/>
      <c r="D43" s="29"/>
      <c r="E43" s="276"/>
      <c r="F43" s="139"/>
      <c r="G43" s="30"/>
      <c r="H43" s="259">
        <f t="shared" ref="H43" si="13">(H42-H41+1)/7</f>
        <v>5.5714285714285712</v>
      </c>
      <c r="I43" s="205">
        <f t="shared" ref="I43" si="14">(I42-I41+1)/7</f>
        <v>0.7142857142857143</v>
      </c>
      <c r="J43" s="205">
        <f>(J42-J41+1)/7</f>
        <v>3.7142857142857144</v>
      </c>
      <c r="K43" s="233"/>
      <c r="L43" s="205">
        <f>(L42-L41+1)/7</f>
        <v>4</v>
      </c>
      <c r="M43" s="206"/>
      <c r="N43" s="356"/>
      <c r="O43" s="71"/>
      <c r="P43" s="5" t="s">
        <v>49</v>
      </c>
      <c r="Q43" s="72" t="e">
        <f>AVERAGE(L43,L46,L49,L52,L55,#REF!,#REF!,#REF!,#REF!,#REF!)</f>
        <v>#REF!</v>
      </c>
      <c r="R43" s="5">
        <v>5</v>
      </c>
      <c r="S43" s="39"/>
    </row>
    <row r="44" spans="1:21" ht="15" customHeight="1" x14ac:dyDescent="0.3">
      <c r="A44" s="352"/>
      <c r="B44" s="13" t="s">
        <v>130</v>
      </c>
      <c r="C44" s="108">
        <v>18</v>
      </c>
      <c r="D44" s="15"/>
      <c r="E44" s="275">
        <v>8</v>
      </c>
      <c r="F44" s="138">
        <f t="shared" ref="F44" si="15">C44+D44+E44</f>
        <v>26</v>
      </c>
      <c r="G44" s="75">
        <v>46133</v>
      </c>
      <c r="H44" s="258">
        <v>46133</v>
      </c>
      <c r="I44" s="230">
        <v>46188</v>
      </c>
      <c r="J44" s="201">
        <v>46195</v>
      </c>
      <c r="K44" s="201"/>
      <c r="L44" s="201">
        <v>46223</v>
      </c>
      <c r="M44" s="204">
        <f>(L45-H44+1)/7</f>
        <v>18.571428571428573</v>
      </c>
      <c r="N44" s="357" t="s">
        <v>155</v>
      </c>
      <c r="Q44" s="76"/>
      <c r="R44" s="39"/>
    </row>
    <row r="45" spans="1:21" ht="15" customHeight="1" x14ac:dyDescent="0.3">
      <c r="A45" s="352"/>
      <c r="B45" s="13"/>
      <c r="C45" s="108"/>
      <c r="D45" s="15"/>
      <c r="E45" s="275"/>
      <c r="F45" s="138"/>
      <c r="G45" s="75"/>
      <c r="H45" s="258">
        <v>46181</v>
      </c>
      <c r="I45" s="209">
        <v>46192</v>
      </c>
      <c r="J45" s="209">
        <v>46224</v>
      </c>
      <c r="K45" s="209"/>
      <c r="L45" s="203">
        <v>46262</v>
      </c>
      <c r="M45" s="204"/>
      <c r="N45" s="355"/>
    </row>
    <row r="46" spans="1:21" ht="15" customHeight="1" x14ac:dyDescent="0.3">
      <c r="A46" s="352"/>
      <c r="B46" s="27"/>
      <c r="C46" s="109"/>
      <c r="D46" s="29"/>
      <c r="E46" s="276"/>
      <c r="F46" s="139"/>
      <c r="G46" s="264"/>
      <c r="H46" s="259">
        <f t="shared" ref="H46" si="16">(H45-H44+1)/7</f>
        <v>7</v>
      </c>
      <c r="I46" s="205">
        <f t="shared" ref="I46:L46" si="17">(I45-I44+1)/7</f>
        <v>0.7142857142857143</v>
      </c>
      <c r="J46" s="205">
        <f t="shared" si="17"/>
        <v>4.2857142857142856</v>
      </c>
      <c r="K46" s="205"/>
      <c r="L46" s="205">
        <f t="shared" si="17"/>
        <v>5.7142857142857144</v>
      </c>
      <c r="M46" s="206"/>
      <c r="N46" s="356"/>
      <c r="Q46" s="39"/>
      <c r="S46" s="39"/>
    </row>
    <row r="47" spans="1:21" ht="15" customHeight="1" x14ac:dyDescent="0.3">
      <c r="A47" s="352"/>
      <c r="B47" s="13" t="s">
        <v>131</v>
      </c>
      <c r="C47" s="108">
        <v>18</v>
      </c>
      <c r="D47" s="15"/>
      <c r="E47" s="275">
        <v>8</v>
      </c>
      <c r="F47" s="138">
        <f t="shared" ref="F47" si="18">C47+D47+E47</f>
        <v>26</v>
      </c>
      <c r="G47" s="75">
        <v>46168</v>
      </c>
      <c r="H47" s="258">
        <v>46168</v>
      </c>
      <c r="I47" s="230">
        <v>46216</v>
      </c>
      <c r="J47" s="201">
        <v>46223</v>
      </c>
      <c r="K47" s="228"/>
      <c r="L47" s="201">
        <v>46260</v>
      </c>
      <c r="M47" s="204">
        <f t="shared" ref="M47" si="19">(L48-H47+1)/7</f>
        <v>20.142857142857142</v>
      </c>
      <c r="N47" s="357" t="s">
        <v>173</v>
      </c>
      <c r="P47" s="39"/>
      <c r="U47" s="39"/>
    </row>
    <row r="48" spans="1:21" ht="15" customHeight="1" x14ac:dyDescent="0.3">
      <c r="A48" s="352"/>
      <c r="B48" s="13"/>
      <c r="C48" s="108"/>
      <c r="D48" s="15"/>
      <c r="E48" s="275"/>
      <c r="F48" s="138"/>
      <c r="G48" s="75"/>
      <c r="H48" s="258">
        <v>46210</v>
      </c>
      <c r="I48" s="209">
        <v>46220</v>
      </c>
      <c r="J48" s="209">
        <v>46255</v>
      </c>
      <c r="K48" s="229"/>
      <c r="L48" s="203">
        <v>46308</v>
      </c>
      <c r="M48" s="204"/>
      <c r="N48" s="355"/>
      <c r="P48" s="77"/>
      <c r="R48" s="77"/>
      <c r="S48" s="77"/>
    </row>
    <row r="49" spans="1:20" ht="15" customHeight="1" x14ac:dyDescent="0.3">
      <c r="A49" s="352"/>
      <c r="B49" s="27"/>
      <c r="C49" s="109"/>
      <c r="D49" s="29"/>
      <c r="E49" s="276"/>
      <c r="F49" s="139"/>
      <c r="G49" s="264"/>
      <c r="H49" s="259">
        <f t="shared" ref="H49" si="20">(H48-H47+1)/7</f>
        <v>6.1428571428571432</v>
      </c>
      <c r="I49" s="205">
        <f t="shared" ref="I49:L49" si="21">(I48-I47+1)/7</f>
        <v>0.7142857142857143</v>
      </c>
      <c r="J49" s="205">
        <f t="shared" si="21"/>
        <v>4.7142857142857144</v>
      </c>
      <c r="K49" s="233"/>
      <c r="L49" s="205">
        <f t="shared" si="21"/>
        <v>7</v>
      </c>
      <c r="M49" s="206"/>
      <c r="N49" s="356"/>
      <c r="P49" s="77">
        <v>11.1</v>
      </c>
      <c r="Q49" s="77">
        <v>15.1</v>
      </c>
      <c r="R49" s="77">
        <f t="shared" ref="R49:R54" si="22">P49-Q49</f>
        <v>-4</v>
      </c>
      <c r="S49" s="77"/>
    </row>
    <row r="50" spans="1:20" ht="15" customHeight="1" x14ac:dyDescent="0.3">
      <c r="A50" s="352"/>
      <c r="B50" s="13" t="s">
        <v>132</v>
      </c>
      <c r="C50" s="108"/>
      <c r="D50" s="15">
        <v>14</v>
      </c>
      <c r="E50" s="275">
        <v>8</v>
      </c>
      <c r="F50" s="138">
        <f t="shared" ref="F50" si="23">C50+D50+E50</f>
        <v>22</v>
      </c>
      <c r="G50" s="75">
        <v>46203</v>
      </c>
      <c r="H50" s="258">
        <v>46203</v>
      </c>
      <c r="I50" s="230">
        <v>46252</v>
      </c>
      <c r="J50" s="201">
        <v>46258</v>
      </c>
      <c r="K50" s="201">
        <v>46286</v>
      </c>
      <c r="L50" s="201">
        <v>46307</v>
      </c>
      <c r="M50" s="204">
        <f>(L51-H50+1)/7</f>
        <v>18.857142857142858</v>
      </c>
      <c r="N50" s="357" t="s">
        <v>157</v>
      </c>
      <c r="P50" s="77">
        <v>10.7</v>
      </c>
      <c r="Q50" s="77">
        <v>15.1</v>
      </c>
      <c r="R50" s="77">
        <f t="shared" si="22"/>
        <v>-4.4000000000000004</v>
      </c>
      <c r="S50" s="77"/>
    </row>
    <row r="51" spans="1:20" ht="15" customHeight="1" x14ac:dyDescent="0.3">
      <c r="A51" s="352"/>
      <c r="B51" s="13"/>
      <c r="C51" s="108"/>
      <c r="D51" s="15"/>
      <c r="E51" s="275"/>
      <c r="F51" s="138"/>
      <c r="G51" s="75"/>
      <c r="H51" s="258">
        <v>46241</v>
      </c>
      <c r="I51" s="209">
        <v>46255</v>
      </c>
      <c r="J51" s="209">
        <v>46285</v>
      </c>
      <c r="K51" s="209">
        <v>46306</v>
      </c>
      <c r="L51" s="203">
        <v>46334</v>
      </c>
      <c r="M51" s="204"/>
      <c r="N51" s="355"/>
      <c r="P51" s="77">
        <v>10.3</v>
      </c>
      <c r="Q51" s="77">
        <v>14.7</v>
      </c>
      <c r="R51" s="77">
        <f t="shared" si="22"/>
        <v>-4.3999999999999986</v>
      </c>
      <c r="S51" s="77"/>
    </row>
    <row r="52" spans="1:20" ht="15" customHeight="1" x14ac:dyDescent="0.3">
      <c r="A52" s="352"/>
      <c r="B52" s="27"/>
      <c r="C52" s="109"/>
      <c r="D52" s="29"/>
      <c r="E52" s="276"/>
      <c r="F52" s="139"/>
      <c r="G52" s="264"/>
      <c r="H52" s="259">
        <f t="shared" ref="H52" si="24">(H51-H50+1)/7</f>
        <v>5.5714285714285712</v>
      </c>
      <c r="I52" s="205">
        <f t="shared" ref="I52:L52" si="25">(I51-I50+1)/7</f>
        <v>0.5714285714285714</v>
      </c>
      <c r="J52" s="205">
        <f t="shared" si="25"/>
        <v>4</v>
      </c>
      <c r="K52" s="205">
        <f t="shared" si="25"/>
        <v>3</v>
      </c>
      <c r="L52" s="205">
        <f t="shared" si="25"/>
        <v>4</v>
      </c>
      <c r="M52" s="206"/>
      <c r="N52" s="356"/>
      <c r="P52" s="77">
        <v>7.7</v>
      </c>
      <c r="Q52" s="77">
        <v>10.7</v>
      </c>
      <c r="R52" s="77">
        <f t="shared" si="22"/>
        <v>-2.9999999999999991</v>
      </c>
      <c r="S52" s="77"/>
    </row>
    <row r="53" spans="1:20" ht="15" customHeight="1" x14ac:dyDescent="0.3">
      <c r="A53" s="352"/>
      <c r="B53" s="13" t="s">
        <v>133</v>
      </c>
      <c r="C53" s="108"/>
      <c r="D53" s="15">
        <v>14</v>
      </c>
      <c r="E53" s="275">
        <v>8</v>
      </c>
      <c r="F53" s="138">
        <f t="shared" ref="F53" si="26">C53+D53+E53</f>
        <v>22</v>
      </c>
      <c r="G53" s="75">
        <v>46238</v>
      </c>
      <c r="H53" s="258">
        <v>46238</v>
      </c>
      <c r="I53" s="230">
        <v>46293</v>
      </c>
      <c r="J53" s="201">
        <v>46300</v>
      </c>
      <c r="K53" s="228"/>
      <c r="L53" s="201">
        <v>46335</v>
      </c>
      <c r="M53" s="204">
        <f t="shared" ref="M53" si="27">(L54-H53+1)/7</f>
        <v>16.857142857142858</v>
      </c>
      <c r="N53" s="357" t="s">
        <v>158</v>
      </c>
      <c r="P53" s="77">
        <v>9.6999999999999993</v>
      </c>
      <c r="Q53" s="77">
        <v>9.6999999999999993</v>
      </c>
      <c r="R53" s="77">
        <f t="shared" si="22"/>
        <v>0</v>
      </c>
      <c r="S53" s="77"/>
    </row>
    <row r="54" spans="1:20" ht="15" customHeight="1" x14ac:dyDescent="0.3">
      <c r="A54" s="352"/>
      <c r="B54" s="13"/>
      <c r="C54" s="108"/>
      <c r="D54" s="15"/>
      <c r="E54" s="275"/>
      <c r="F54" s="138"/>
      <c r="G54" s="75"/>
      <c r="H54" s="258">
        <v>46276</v>
      </c>
      <c r="I54" s="209">
        <v>46297</v>
      </c>
      <c r="J54" s="209">
        <v>46332</v>
      </c>
      <c r="K54" s="229"/>
      <c r="L54" s="203">
        <v>46355</v>
      </c>
      <c r="M54" s="204"/>
      <c r="N54" s="355"/>
      <c r="P54" s="77">
        <v>9.6</v>
      </c>
      <c r="Q54" s="77">
        <v>9.6</v>
      </c>
      <c r="R54" s="77">
        <f t="shared" si="22"/>
        <v>0</v>
      </c>
      <c r="S54" s="77"/>
      <c r="T54" s="72"/>
    </row>
    <row r="55" spans="1:20" ht="15" customHeight="1" x14ac:dyDescent="0.3">
      <c r="A55" s="352"/>
      <c r="B55" s="27"/>
      <c r="C55" s="109"/>
      <c r="D55" s="29"/>
      <c r="E55" s="276"/>
      <c r="F55" s="139"/>
      <c r="G55" s="264"/>
      <c r="H55" s="259">
        <f t="shared" ref="H55" si="28">(H54-H53+1)/7</f>
        <v>5.5714285714285712</v>
      </c>
      <c r="I55" s="205">
        <f t="shared" ref="I55:J55" si="29">(I54-I53+1)/7</f>
        <v>0.7142857142857143</v>
      </c>
      <c r="J55" s="205">
        <f t="shared" si="29"/>
        <v>4.7142857142857144</v>
      </c>
      <c r="K55" s="232"/>
      <c r="L55" s="205">
        <f t="shared" ref="L55" si="30">(L54-L53+1)/7</f>
        <v>3</v>
      </c>
      <c r="M55" s="206"/>
      <c r="N55" s="356"/>
      <c r="P55" s="77"/>
      <c r="Q55" s="77"/>
      <c r="R55" s="77"/>
      <c r="S55" s="77"/>
    </row>
    <row r="56" spans="1:20" ht="15" customHeight="1" x14ac:dyDescent="0.3">
      <c r="A56" s="352"/>
      <c r="B56" s="13" t="s">
        <v>134</v>
      </c>
      <c r="C56" s="108">
        <v>6</v>
      </c>
      <c r="D56" s="15"/>
      <c r="E56" s="275">
        <v>8</v>
      </c>
      <c r="F56" s="138">
        <f>C56+D56+E56</f>
        <v>14</v>
      </c>
      <c r="G56" s="75">
        <v>46315</v>
      </c>
      <c r="H56" s="258">
        <v>46315</v>
      </c>
      <c r="I56" s="230">
        <v>46363</v>
      </c>
      <c r="J56" s="201">
        <v>46370</v>
      </c>
      <c r="K56" s="228"/>
      <c r="L56" s="228"/>
      <c r="M56" s="231"/>
      <c r="N56" s="358"/>
      <c r="P56" s="77"/>
      <c r="Q56" s="77"/>
      <c r="R56" s="77"/>
      <c r="S56" s="77"/>
    </row>
    <row r="57" spans="1:20" ht="15" customHeight="1" x14ac:dyDescent="0.3">
      <c r="A57" s="352"/>
      <c r="B57" s="13"/>
      <c r="C57" s="108"/>
      <c r="D57" s="15"/>
      <c r="E57" s="275"/>
      <c r="F57" s="138"/>
      <c r="G57" s="75"/>
      <c r="H57" s="258">
        <v>46353</v>
      </c>
      <c r="I57" s="209">
        <v>46367</v>
      </c>
      <c r="J57" s="229"/>
      <c r="K57" s="229"/>
      <c r="L57" s="230"/>
      <c r="M57" s="231"/>
      <c r="N57" s="359"/>
      <c r="P57" s="77"/>
      <c r="Q57" s="77"/>
      <c r="R57" s="77"/>
      <c r="S57" s="77"/>
    </row>
    <row r="58" spans="1:20" ht="15" customHeight="1" x14ac:dyDescent="0.3">
      <c r="A58" s="352"/>
      <c r="B58" s="27"/>
      <c r="C58" s="109"/>
      <c r="D58" s="29"/>
      <c r="E58" s="276"/>
      <c r="F58" s="139"/>
      <c r="G58" s="264"/>
      <c r="H58" s="259">
        <f t="shared" ref="H58" si="31">(H57-H56+1)/7</f>
        <v>5.5714285714285712</v>
      </c>
      <c r="I58" s="205">
        <f t="shared" ref="I58" si="32">(I57-I56+1)/7</f>
        <v>0.7142857142857143</v>
      </c>
      <c r="J58" s="233"/>
      <c r="K58" s="232"/>
      <c r="L58" s="233"/>
      <c r="M58" s="234"/>
      <c r="N58" s="360"/>
      <c r="P58" s="77"/>
      <c r="Q58" s="77"/>
      <c r="R58" s="77"/>
      <c r="S58" s="77"/>
    </row>
    <row r="59" spans="1:20" ht="15" customHeight="1" x14ac:dyDescent="0.3">
      <c r="A59" s="352"/>
      <c r="B59" s="13" t="s">
        <v>135</v>
      </c>
      <c r="C59" s="108"/>
      <c r="D59" s="15">
        <v>14</v>
      </c>
      <c r="E59" s="275">
        <v>8</v>
      </c>
      <c r="F59" s="138">
        <f>C59+D59+E59</f>
        <v>22</v>
      </c>
      <c r="G59" s="75">
        <v>46350</v>
      </c>
      <c r="H59" s="258">
        <v>46350</v>
      </c>
      <c r="I59" s="229"/>
      <c r="J59" s="228"/>
      <c r="K59" s="228"/>
      <c r="L59" s="228"/>
      <c r="M59" s="231"/>
      <c r="N59" s="361"/>
      <c r="P59" s="77"/>
      <c r="Q59" s="77"/>
      <c r="R59" s="77"/>
      <c r="S59" s="77"/>
    </row>
    <row r="60" spans="1:20" ht="15" customHeight="1" x14ac:dyDescent="0.3">
      <c r="A60" s="352"/>
      <c r="B60" s="13"/>
      <c r="C60" s="108"/>
      <c r="D60" s="15"/>
      <c r="E60" s="275"/>
      <c r="F60" s="138"/>
      <c r="G60" s="75"/>
      <c r="H60" s="258">
        <v>46387</v>
      </c>
      <c r="I60" s="229"/>
      <c r="J60" s="229"/>
      <c r="K60" s="229"/>
      <c r="L60" s="230"/>
      <c r="M60" s="231"/>
      <c r="N60" s="362"/>
      <c r="P60" s="77"/>
      <c r="Q60" s="77"/>
      <c r="R60" s="77"/>
      <c r="S60" s="77"/>
    </row>
    <row r="61" spans="1:20" ht="15" customHeight="1" x14ac:dyDescent="0.3">
      <c r="A61" s="352"/>
      <c r="B61" s="27"/>
      <c r="C61" s="109"/>
      <c r="D61" s="29"/>
      <c r="E61" s="276"/>
      <c r="F61" s="139"/>
      <c r="G61" s="264"/>
      <c r="H61" s="259">
        <f t="shared" ref="H61" si="33">(H60-H59+1)/7</f>
        <v>5.4285714285714288</v>
      </c>
      <c r="I61" s="233"/>
      <c r="J61" s="233"/>
      <c r="K61" s="232"/>
      <c r="L61" s="233"/>
      <c r="M61" s="234"/>
      <c r="N61" s="363"/>
      <c r="P61" s="77"/>
      <c r="Q61" s="77"/>
      <c r="R61" s="77"/>
      <c r="S61" s="77"/>
    </row>
    <row r="62" spans="1:20" ht="15" customHeight="1" x14ac:dyDescent="0.3">
      <c r="A62" s="352"/>
      <c r="B62" s="13" t="s">
        <v>136</v>
      </c>
      <c r="C62" s="108">
        <v>1</v>
      </c>
      <c r="D62" s="15">
        <v>13</v>
      </c>
      <c r="E62" s="275">
        <v>8</v>
      </c>
      <c r="F62" s="138">
        <f t="shared" ref="F62" si="34">C62+D62+E62</f>
        <v>22</v>
      </c>
      <c r="G62" s="75">
        <v>46385</v>
      </c>
      <c r="H62" s="258">
        <v>46385</v>
      </c>
      <c r="I62" s="229"/>
      <c r="J62" s="228"/>
      <c r="K62" s="228"/>
      <c r="L62" s="228"/>
      <c r="M62" s="231"/>
      <c r="N62" s="361"/>
      <c r="P62" s="77"/>
      <c r="Q62" s="77"/>
      <c r="R62" s="77"/>
      <c r="S62" s="77"/>
    </row>
    <row r="63" spans="1:20" ht="15" customHeight="1" x14ac:dyDescent="0.3">
      <c r="A63" s="352"/>
      <c r="B63" s="13"/>
      <c r="C63" s="108"/>
      <c r="D63" s="15"/>
      <c r="E63" s="275"/>
      <c r="F63" s="138"/>
      <c r="G63" s="75"/>
      <c r="H63" s="258">
        <v>46423</v>
      </c>
      <c r="I63" s="229"/>
      <c r="J63" s="229"/>
      <c r="K63" s="229"/>
      <c r="L63" s="230"/>
      <c r="M63" s="231"/>
      <c r="N63" s="362"/>
      <c r="P63" s="77"/>
      <c r="Q63" s="77"/>
      <c r="R63" s="77"/>
      <c r="S63" s="77"/>
    </row>
    <row r="64" spans="1:20" ht="15" customHeight="1" x14ac:dyDescent="0.3">
      <c r="A64" s="352"/>
      <c r="B64" s="27"/>
      <c r="C64" s="109"/>
      <c r="D64" s="29"/>
      <c r="E64" s="276"/>
      <c r="F64" s="139"/>
      <c r="G64" s="264"/>
      <c r="H64" s="259">
        <f t="shared" ref="H64" si="35">(H63-H62+1)/7</f>
        <v>5.5714285714285712</v>
      </c>
      <c r="I64" s="233"/>
      <c r="J64" s="233"/>
      <c r="K64" s="232"/>
      <c r="L64" s="233"/>
      <c r="M64" s="234"/>
      <c r="N64" s="363"/>
      <c r="P64" s="77"/>
      <c r="Q64" s="77"/>
      <c r="R64" s="77"/>
      <c r="S64" s="77"/>
    </row>
    <row r="65" spans="1:19" ht="15" customHeight="1" x14ac:dyDescent="0.3">
      <c r="A65" s="352"/>
      <c r="B65" s="13" t="s">
        <v>137</v>
      </c>
      <c r="C65" s="108"/>
      <c r="D65" s="15">
        <v>10</v>
      </c>
      <c r="E65" s="275">
        <v>8</v>
      </c>
      <c r="F65" s="138">
        <f t="shared" ref="F65" si="36">C65+D65+E65</f>
        <v>18</v>
      </c>
      <c r="G65" s="75">
        <v>46420</v>
      </c>
      <c r="H65" s="258">
        <v>46420</v>
      </c>
      <c r="I65" s="229"/>
      <c r="J65" s="228"/>
      <c r="K65" s="228"/>
      <c r="L65" s="228"/>
      <c r="M65" s="231"/>
      <c r="N65" s="361"/>
      <c r="P65" s="77"/>
      <c r="Q65" s="77"/>
      <c r="R65" s="77"/>
      <c r="S65" s="77"/>
    </row>
    <row r="66" spans="1:19" ht="15" customHeight="1" x14ac:dyDescent="0.3">
      <c r="A66" s="352"/>
      <c r="B66" s="13"/>
      <c r="C66" s="108"/>
      <c r="D66" s="15"/>
      <c r="E66" s="14"/>
      <c r="F66" s="138"/>
      <c r="G66" s="16"/>
      <c r="H66" s="258">
        <v>46458</v>
      </c>
      <c r="I66" s="229"/>
      <c r="J66" s="229"/>
      <c r="K66" s="229"/>
      <c r="L66" s="230"/>
      <c r="M66" s="231"/>
      <c r="N66" s="362"/>
      <c r="P66" s="77"/>
      <c r="Q66" s="77"/>
      <c r="R66" s="77"/>
      <c r="S66" s="77"/>
    </row>
    <row r="67" spans="1:19" ht="15" customHeight="1" thickBot="1" x14ac:dyDescent="0.35">
      <c r="A67" s="353"/>
      <c r="B67" s="47"/>
      <c r="C67" s="111"/>
      <c r="D67" s="49"/>
      <c r="E67" s="48"/>
      <c r="F67" s="105"/>
      <c r="G67" s="50"/>
      <c r="H67" s="265">
        <f t="shared" ref="H67" si="37">(H66-H65+1)/7</f>
        <v>5.5714285714285712</v>
      </c>
      <c r="I67" s="236"/>
      <c r="J67" s="236"/>
      <c r="K67" s="235"/>
      <c r="L67" s="236"/>
      <c r="M67" s="237"/>
      <c r="N67" s="364"/>
      <c r="P67" s="77"/>
      <c r="Q67" s="77"/>
      <c r="R67" s="77"/>
      <c r="S67" s="77"/>
    </row>
    <row r="68" spans="1:19" ht="24" customHeight="1" thickBot="1" x14ac:dyDescent="0.35">
      <c r="A68" s="343" t="s">
        <v>10</v>
      </c>
      <c r="B68" s="344"/>
      <c r="C68" s="200">
        <f>SUM(C41:C67)</f>
        <v>49</v>
      </c>
      <c r="D68" s="58">
        <f>SUM(D41:D67)</f>
        <v>65</v>
      </c>
      <c r="E68" s="56">
        <f>SUM(E41:E67)</f>
        <v>72</v>
      </c>
      <c r="F68" s="140">
        <f>SUM(C68:E68)</f>
        <v>186</v>
      </c>
      <c r="G68" s="273" t="s">
        <v>183</v>
      </c>
      <c r="H68" s="453" t="s">
        <v>42</v>
      </c>
      <c r="I68" s="454"/>
      <c r="J68" s="454"/>
      <c r="K68" s="454"/>
      <c r="L68" s="455"/>
      <c r="M68" s="61">
        <f>AVERAGE(M41:M67)</f>
        <v>18.085714285714285</v>
      </c>
      <c r="N68" s="62" t="s">
        <v>41</v>
      </c>
    </row>
    <row r="69" spans="1:19" ht="24" customHeight="1" thickBot="1" x14ac:dyDescent="0.35">
      <c r="A69" s="345" t="s">
        <v>69</v>
      </c>
      <c r="B69" s="346"/>
      <c r="C69" s="112">
        <f>C40+C68</f>
        <v>58</v>
      </c>
      <c r="D69" s="114">
        <f>D40+D68</f>
        <v>139</v>
      </c>
      <c r="E69" s="57">
        <f>E40+E68</f>
        <v>88</v>
      </c>
      <c r="F69" s="140">
        <f>SUM(C69:E69)</f>
        <v>285</v>
      </c>
      <c r="G69" s="273" t="s">
        <v>183</v>
      </c>
      <c r="H69" s="456" t="s">
        <v>70</v>
      </c>
      <c r="I69" s="457"/>
      <c r="J69" s="457"/>
      <c r="K69" s="457"/>
      <c r="L69" s="458"/>
      <c r="M69" s="61">
        <f>AVERAGE(M40,M68)</f>
        <v>15.292857142857143</v>
      </c>
      <c r="N69" s="62" t="s">
        <v>41</v>
      </c>
    </row>
    <row r="70" spans="1:19" ht="45.75" customHeight="1" x14ac:dyDescent="0.3">
      <c r="A70" s="347" t="s">
        <v>184</v>
      </c>
      <c r="B70" s="347"/>
      <c r="C70" s="347"/>
      <c r="D70" s="347"/>
      <c r="E70" s="347"/>
      <c r="F70" s="347"/>
      <c r="G70" s="347"/>
      <c r="H70" s="347"/>
      <c r="I70" s="347"/>
      <c r="J70" s="347"/>
      <c r="K70" s="347"/>
      <c r="L70" s="347"/>
      <c r="M70" s="347"/>
      <c r="N70" s="347"/>
    </row>
    <row r="71" spans="1:19" ht="17.25" x14ac:dyDescent="0.3">
      <c r="A71" s="194"/>
      <c r="I71" s="39"/>
    </row>
    <row r="72" spans="1:19" x14ac:dyDescent="0.3">
      <c r="H72" s="39"/>
      <c r="I72" s="39"/>
    </row>
    <row r="73" spans="1:19" x14ac:dyDescent="0.3">
      <c r="C73" s="39"/>
      <c r="D73" s="39"/>
      <c r="H73" s="39"/>
    </row>
  </sheetData>
  <mergeCells count="60">
    <mergeCell ref="G12:M12"/>
    <mergeCell ref="G13:M13"/>
    <mergeCell ref="I6:N8"/>
    <mergeCell ref="I9:N9"/>
    <mergeCell ref="G6:H6"/>
    <mergeCell ref="G7:H7"/>
    <mergeCell ref="G8:H8"/>
    <mergeCell ref="G9:H9"/>
    <mergeCell ref="A69:B69"/>
    <mergeCell ref="H69:L69"/>
    <mergeCell ref="A70:N70"/>
    <mergeCell ref="I14:L14"/>
    <mergeCell ref="M14:M15"/>
    <mergeCell ref="G14:G15"/>
    <mergeCell ref="N12:N15"/>
    <mergeCell ref="C13:D14"/>
    <mergeCell ref="N53:N55"/>
    <mergeCell ref="N56:N58"/>
    <mergeCell ref="N59:N61"/>
    <mergeCell ref="N62:N64"/>
    <mergeCell ref="N65:N67"/>
    <mergeCell ref="A68:B68"/>
    <mergeCell ref="H68:L68"/>
    <mergeCell ref="N34:N36"/>
    <mergeCell ref="N37:N39"/>
    <mergeCell ref="A40:B40"/>
    <mergeCell ref="H40:L40"/>
    <mergeCell ref="P40:Q40"/>
    <mergeCell ref="A41:A67"/>
    <mergeCell ref="N41:N43"/>
    <mergeCell ref="N44:N46"/>
    <mergeCell ref="N47:N49"/>
    <mergeCell ref="N50:N52"/>
    <mergeCell ref="A16:A39"/>
    <mergeCell ref="N16:N18"/>
    <mergeCell ref="N19:N21"/>
    <mergeCell ref="N22:N24"/>
    <mergeCell ref="N25:N27"/>
    <mergeCell ref="N28:N30"/>
    <mergeCell ref="N31:N33"/>
    <mergeCell ref="A9:B9"/>
    <mergeCell ref="C9:F9"/>
    <mergeCell ref="A11:B11"/>
    <mergeCell ref="A12:A15"/>
    <mergeCell ref="B12:B15"/>
    <mergeCell ref="C12:E12"/>
    <mergeCell ref="F12:F15"/>
    <mergeCell ref="E13:E14"/>
    <mergeCell ref="A6:B6"/>
    <mergeCell ref="C6:F6"/>
    <mergeCell ref="A7:B7"/>
    <mergeCell ref="C7:F7"/>
    <mergeCell ref="A8:B8"/>
    <mergeCell ref="C8:F8"/>
    <mergeCell ref="A2:N2"/>
    <mergeCell ref="A4:B4"/>
    <mergeCell ref="A5:B5"/>
    <mergeCell ref="C5:F5"/>
    <mergeCell ref="G5:H5"/>
    <mergeCell ref="I5:N5"/>
  </mergeCells>
  <phoneticPr fontId="2" type="noConversion"/>
  <printOptions horizontalCentered="1"/>
  <pageMargins left="0.31496062992125984" right="0.31496062992125984" top="0.74803149606299213" bottom="0.39370078740157483" header="0.31496062992125984" footer="0.31496062992125984"/>
  <pageSetup paperSize="9" scale="5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F44ED-F0C6-4097-A398-080C52CFD2DE}">
  <sheetPr>
    <pageSetUpPr fitToPage="1"/>
  </sheetPr>
  <dimension ref="A1:T71"/>
  <sheetViews>
    <sheetView showGridLines="0" topLeftCell="A7" workbookViewId="0">
      <selection activeCell="I36" sqref="I36"/>
    </sheetView>
  </sheetViews>
  <sheetFormatPr defaultColWidth="9" defaultRowHeight="16.5" x14ac:dyDescent="0.3"/>
  <cols>
    <col min="1" max="1" width="10.5" style="5" customWidth="1"/>
    <col min="2" max="2" width="13" style="5" customWidth="1"/>
    <col min="3" max="6" width="6.375" style="5" customWidth="1"/>
    <col min="7" max="11" width="11.625" style="5" customWidth="1"/>
    <col min="12" max="12" width="10.125" style="5" customWidth="1"/>
    <col min="13" max="13" width="18" style="100" customWidth="1"/>
    <col min="14" max="14" width="5.625" style="5" customWidth="1"/>
    <col min="15" max="15" width="15.625" style="5" hidden="1" customWidth="1"/>
    <col min="16" max="17" width="11.75" style="5" hidden="1" customWidth="1"/>
    <col min="18" max="23" width="8.75" style="5" customWidth="1"/>
    <col min="24" max="16384" width="9" style="5"/>
  </cols>
  <sheetData>
    <row r="1" spans="1:18" s="1" customFormat="1" ht="39" customHeight="1" x14ac:dyDescent="0.3">
      <c r="A1" s="471" t="s">
        <v>126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</row>
    <row r="2" spans="1:18" ht="22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>
        <v>46031</v>
      </c>
    </row>
    <row r="3" spans="1:18" ht="24" customHeight="1" x14ac:dyDescent="0.3">
      <c r="A3" s="418" t="s">
        <v>0</v>
      </c>
      <c r="B3" s="419"/>
      <c r="C3" s="2"/>
      <c r="D3" s="2"/>
      <c r="E3" s="2"/>
      <c r="F3" s="2"/>
      <c r="G3" s="6"/>
      <c r="H3" s="6"/>
      <c r="I3" s="6"/>
      <c r="J3" s="6"/>
      <c r="K3" s="6"/>
      <c r="L3" s="6"/>
      <c r="M3" s="7"/>
    </row>
    <row r="4" spans="1:18" ht="35.25" customHeight="1" thickBot="1" x14ac:dyDescent="0.35">
      <c r="A4" s="420" t="s">
        <v>1</v>
      </c>
      <c r="B4" s="421"/>
      <c r="C4" s="422" t="s">
        <v>94</v>
      </c>
      <c r="D4" s="423"/>
      <c r="E4" s="424"/>
      <c r="F4" s="420"/>
      <c r="G4" s="422" t="s">
        <v>95</v>
      </c>
      <c r="H4" s="420"/>
      <c r="I4" s="426" t="s">
        <v>5</v>
      </c>
      <c r="J4" s="424"/>
      <c r="K4" s="424"/>
      <c r="L4" s="424"/>
      <c r="M4" s="424"/>
    </row>
    <row r="5" spans="1:18" ht="24" customHeight="1" x14ac:dyDescent="0.3">
      <c r="A5" s="427" t="s">
        <v>9</v>
      </c>
      <c r="B5" s="428"/>
      <c r="C5" s="429">
        <f>F38</f>
        <v>99</v>
      </c>
      <c r="D5" s="430"/>
      <c r="E5" s="430"/>
      <c r="F5" s="431"/>
      <c r="G5" s="429"/>
      <c r="H5" s="431"/>
      <c r="I5" s="434" t="s">
        <v>176</v>
      </c>
      <c r="J5" s="435"/>
      <c r="K5" s="466"/>
      <c r="L5" s="466"/>
      <c r="M5" s="466"/>
    </row>
    <row r="6" spans="1:18" ht="24" customHeight="1" x14ac:dyDescent="0.3">
      <c r="A6" s="440" t="s">
        <v>73</v>
      </c>
      <c r="B6" s="441"/>
      <c r="C6" s="442">
        <f>SUM(F39:F56)</f>
        <v>124</v>
      </c>
      <c r="D6" s="443"/>
      <c r="E6" s="443"/>
      <c r="F6" s="444"/>
      <c r="G6" s="442"/>
      <c r="H6" s="444"/>
      <c r="I6" s="467"/>
      <c r="J6" s="468"/>
      <c r="K6" s="468"/>
      <c r="L6" s="468"/>
      <c r="M6" s="468"/>
    </row>
    <row r="7" spans="1:18" ht="24" customHeight="1" thickBot="1" x14ac:dyDescent="0.35">
      <c r="A7" s="445" t="s">
        <v>127</v>
      </c>
      <c r="B7" s="446"/>
      <c r="C7" s="392"/>
      <c r="D7" s="447"/>
      <c r="E7" s="447"/>
      <c r="F7" s="393"/>
      <c r="G7" s="392">
        <f>SUM(F54:F65)</f>
        <v>76</v>
      </c>
      <c r="H7" s="393"/>
      <c r="I7" s="469"/>
      <c r="J7" s="470"/>
      <c r="K7" s="470"/>
      <c r="L7" s="470"/>
      <c r="M7" s="470"/>
    </row>
    <row r="8" spans="1:18" ht="24" customHeight="1" x14ac:dyDescent="0.3">
      <c r="A8" s="407" t="s">
        <v>10</v>
      </c>
      <c r="B8" s="408"/>
      <c r="C8" s="409">
        <f>SUM(C5:F7)</f>
        <v>223</v>
      </c>
      <c r="D8" s="410"/>
      <c r="E8" s="410"/>
      <c r="F8" s="411"/>
      <c r="G8" s="409">
        <f>G7</f>
        <v>76</v>
      </c>
      <c r="H8" s="411"/>
      <c r="I8" s="412"/>
      <c r="J8" s="414"/>
      <c r="K8" s="414"/>
      <c r="L8" s="414"/>
      <c r="M8" s="414"/>
    </row>
    <row r="9" spans="1:18" ht="12" customHeight="1" x14ac:dyDescent="0.3">
      <c r="A9" s="8"/>
      <c r="B9" s="8"/>
      <c r="C9" s="8"/>
      <c r="D9" s="8"/>
      <c r="E9" s="125"/>
      <c r="F9" s="8"/>
      <c r="G9" s="125"/>
      <c r="H9" s="8"/>
      <c r="I9" s="8"/>
      <c r="J9" s="8"/>
      <c r="K9" s="8"/>
      <c r="L9" s="8"/>
      <c r="M9" s="8"/>
      <c r="R9" s="39"/>
    </row>
    <row r="10" spans="1:18" ht="29.25" customHeight="1" thickBot="1" x14ac:dyDescent="0.35">
      <c r="A10" s="415" t="s">
        <v>11</v>
      </c>
      <c r="B10" s="416"/>
      <c r="C10" s="8"/>
      <c r="D10" s="8"/>
      <c r="E10" s="8"/>
      <c r="F10" s="8"/>
      <c r="G10" s="195"/>
      <c r="H10" s="195"/>
      <c r="I10" s="195"/>
      <c r="J10" s="195"/>
      <c r="K10" s="195"/>
      <c r="L10" s="195"/>
      <c r="M10" s="195"/>
    </row>
    <row r="11" spans="1:18" ht="36" customHeight="1" x14ac:dyDescent="0.3">
      <c r="A11" s="394" t="s">
        <v>12</v>
      </c>
      <c r="B11" s="397" t="s">
        <v>13</v>
      </c>
      <c r="C11" s="399" t="s">
        <v>14</v>
      </c>
      <c r="D11" s="399"/>
      <c r="E11" s="400"/>
      <c r="F11" s="401" t="s">
        <v>15</v>
      </c>
      <c r="G11" s="404" t="s">
        <v>18</v>
      </c>
      <c r="H11" s="405"/>
      <c r="I11" s="405"/>
      <c r="J11" s="405"/>
      <c r="K11" s="405"/>
      <c r="L11" s="406"/>
      <c r="M11" s="460" t="s">
        <v>162</v>
      </c>
    </row>
    <row r="12" spans="1:18" ht="22.5" customHeight="1" x14ac:dyDescent="0.3">
      <c r="A12" s="395"/>
      <c r="B12" s="398"/>
      <c r="C12" s="463" t="s">
        <v>96</v>
      </c>
      <c r="D12" s="464"/>
      <c r="E12" s="113" t="s">
        <v>139</v>
      </c>
      <c r="F12" s="402"/>
      <c r="G12" s="465" t="s">
        <v>172</v>
      </c>
      <c r="H12" s="382"/>
      <c r="I12" s="382"/>
      <c r="J12" s="382"/>
      <c r="K12" s="382"/>
      <c r="L12" s="383"/>
      <c r="M12" s="461"/>
    </row>
    <row r="13" spans="1:18" ht="35.25" customHeight="1" thickBot="1" x14ac:dyDescent="0.35">
      <c r="A13" s="396"/>
      <c r="B13" s="385"/>
      <c r="C13" s="107" t="s">
        <v>98</v>
      </c>
      <c r="D13" s="104" t="s">
        <v>99</v>
      </c>
      <c r="E13" s="104" t="s">
        <v>98</v>
      </c>
      <c r="F13" s="403"/>
      <c r="G13" s="9" t="s">
        <v>23</v>
      </c>
      <c r="H13" s="10" t="s">
        <v>24</v>
      </c>
      <c r="I13" s="10" t="s">
        <v>25</v>
      </c>
      <c r="J13" s="10" t="s">
        <v>111</v>
      </c>
      <c r="K13" s="11" t="s">
        <v>26</v>
      </c>
      <c r="L13" s="12" t="s">
        <v>27</v>
      </c>
      <c r="M13" s="462"/>
    </row>
    <row r="14" spans="1:18" ht="16.5" customHeight="1" x14ac:dyDescent="0.3">
      <c r="A14" s="351" t="s">
        <v>74</v>
      </c>
      <c r="B14" s="196" t="s">
        <v>142</v>
      </c>
      <c r="C14" s="108"/>
      <c r="D14" s="15"/>
      <c r="E14" s="14">
        <v>7</v>
      </c>
      <c r="F14" s="138">
        <f t="shared" ref="F14" si="0">C14+D14+E14</f>
        <v>7</v>
      </c>
      <c r="G14" s="117">
        <v>45929</v>
      </c>
      <c r="H14" s="19">
        <v>45930</v>
      </c>
      <c r="I14" s="37">
        <v>45944</v>
      </c>
      <c r="J14" s="37">
        <v>45978</v>
      </c>
      <c r="K14" s="37">
        <v>46010</v>
      </c>
      <c r="L14" s="21">
        <f>(K15-G14+1)/7</f>
        <v>14.714285714285714</v>
      </c>
      <c r="M14" s="386" t="s">
        <v>168</v>
      </c>
    </row>
    <row r="15" spans="1:18" ht="16.5" customHeight="1" x14ac:dyDescent="0.3">
      <c r="A15" s="352"/>
      <c r="B15" s="196"/>
      <c r="C15" s="108"/>
      <c r="D15" s="15"/>
      <c r="E15" s="14"/>
      <c r="F15" s="138"/>
      <c r="G15" s="118"/>
      <c r="H15" s="19">
        <v>45932</v>
      </c>
      <c r="I15" s="19">
        <v>45980</v>
      </c>
      <c r="J15" s="19">
        <v>46009</v>
      </c>
      <c r="K15" s="120">
        <v>46031</v>
      </c>
      <c r="L15" s="24"/>
      <c r="M15" s="387"/>
    </row>
    <row r="16" spans="1:18" ht="16.5" customHeight="1" x14ac:dyDescent="0.3">
      <c r="A16" s="352"/>
      <c r="B16" s="198"/>
      <c r="C16" s="109"/>
      <c r="D16" s="29"/>
      <c r="E16" s="28"/>
      <c r="F16" s="139"/>
      <c r="G16" s="119"/>
      <c r="H16" s="33">
        <f t="shared" ref="H16:K16" si="1">(H15-H14+1)/7</f>
        <v>0.42857142857142855</v>
      </c>
      <c r="I16" s="33">
        <f t="shared" si="1"/>
        <v>5.2857142857142856</v>
      </c>
      <c r="J16" s="33">
        <f t="shared" si="1"/>
        <v>4.5714285714285712</v>
      </c>
      <c r="K16" s="33">
        <f t="shared" si="1"/>
        <v>3.1428571428571428</v>
      </c>
      <c r="L16" s="35"/>
      <c r="M16" s="388"/>
    </row>
    <row r="17" spans="1:19" ht="16.5" customHeight="1" x14ac:dyDescent="0.3">
      <c r="A17" s="352"/>
      <c r="B17" s="212" t="s">
        <v>143</v>
      </c>
      <c r="C17" s="110"/>
      <c r="D17" s="43"/>
      <c r="E17" s="42">
        <v>6</v>
      </c>
      <c r="F17" s="138">
        <f>C17+D17+E17</f>
        <v>6</v>
      </c>
      <c r="G17" s="117">
        <v>45971</v>
      </c>
      <c r="H17" s="37">
        <v>45972</v>
      </c>
      <c r="I17" s="37">
        <v>45980</v>
      </c>
      <c r="J17" s="37">
        <v>46020</v>
      </c>
      <c r="K17" s="201">
        <v>46034</v>
      </c>
      <c r="L17" s="202">
        <f>(K18-G17+1)/7</f>
        <v>12.285714285714286</v>
      </c>
      <c r="M17" s="357" t="s">
        <v>147</v>
      </c>
      <c r="O17" s="26"/>
      <c r="R17" s="39"/>
      <c r="S17" s="39"/>
    </row>
    <row r="18" spans="1:19" ht="16.5" customHeight="1" x14ac:dyDescent="0.3">
      <c r="A18" s="352"/>
      <c r="B18" s="213"/>
      <c r="C18" s="108"/>
      <c r="D18" s="15"/>
      <c r="E18" s="14"/>
      <c r="F18" s="138"/>
      <c r="G18" s="118"/>
      <c r="H18" s="19">
        <v>45975</v>
      </c>
      <c r="I18" s="19">
        <v>46017</v>
      </c>
      <c r="J18" s="19">
        <v>46033</v>
      </c>
      <c r="K18" s="203">
        <v>46056</v>
      </c>
      <c r="L18" s="204"/>
      <c r="M18" s="355"/>
      <c r="R18" s="39"/>
    </row>
    <row r="19" spans="1:19" ht="16.5" customHeight="1" x14ac:dyDescent="0.3">
      <c r="A19" s="352"/>
      <c r="B19" s="215"/>
      <c r="C19" s="109"/>
      <c r="D19" s="29"/>
      <c r="E19" s="28"/>
      <c r="F19" s="139"/>
      <c r="G19" s="119"/>
      <c r="H19" s="33">
        <f t="shared" ref="H19:K19" si="2">(H18-H17+1)/7</f>
        <v>0.5714285714285714</v>
      </c>
      <c r="I19" s="33">
        <f t="shared" si="2"/>
        <v>5.4285714285714288</v>
      </c>
      <c r="J19" s="193">
        <f t="shared" si="2"/>
        <v>2</v>
      </c>
      <c r="K19" s="205">
        <f t="shared" si="2"/>
        <v>3.2857142857142856</v>
      </c>
      <c r="L19" s="206"/>
      <c r="M19" s="356"/>
    </row>
    <row r="20" spans="1:19" ht="16.5" customHeight="1" x14ac:dyDescent="0.3">
      <c r="A20" s="352"/>
      <c r="B20" s="212" t="s">
        <v>144</v>
      </c>
      <c r="C20" s="110"/>
      <c r="D20" s="43">
        <v>16</v>
      </c>
      <c r="E20" s="239"/>
      <c r="F20" s="138">
        <f>C20+D20+E20</f>
        <v>16</v>
      </c>
      <c r="G20" s="117">
        <v>45971</v>
      </c>
      <c r="H20" s="37">
        <v>45972</v>
      </c>
      <c r="I20" s="37">
        <v>45980</v>
      </c>
      <c r="J20" s="201">
        <v>46020</v>
      </c>
      <c r="K20" s="201">
        <v>46050</v>
      </c>
      <c r="L20" s="202">
        <f>(K21-G20+1)/7</f>
        <v>16.428571428571427</v>
      </c>
      <c r="M20" s="357" t="s">
        <v>169</v>
      </c>
    </row>
    <row r="21" spans="1:19" ht="16.5" customHeight="1" x14ac:dyDescent="0.3">
      <c r="A21" s="352"/>
      <c r="B21" s="213"/>
      <c r="C21" s="108"/>
      <c r="D21" s="15"/>
      <c r="E21" s="14"/>
      <c r="F21" s="138"/>
      <c r="G21" s="118"/>
      <c r="H21" s="19">
        <v>45975</v>
      </c>
      <c r="I21" s="19">
        <v>46017</v>
      </c>
      <c r="J21" s="209">
        <v>46047</v>
      </c>
      <c r="K21" s="203">
        <v>46085</v>
      </c>
      <c r="L21" s="204"/>
      <c r="M21" s="355"/>
    </row>
    <row r="22" spans="1:19" ht="16.5" customHeight="1" x14ac:dyDescent="0.3">
      <c r="A22" s="352"/>
      <c r="B22" s="215"/>
      <c r="C22" s="109"/>
      <c r="D22" s="29"/>
      <c r="E22" s="28"/>
      <c r="F22" s="139"/>
      <c r="G22" s="119"/>
      <c r="H22" s="33">
        <f t="shared" ref="H22:K22" si="3">(H21-H20+1)/7</f>
        <v>0.5714285714285714</v>
      </c>
      <c r="I22" s="33">
        <f t="shared" si="3"/>
        <v>5.4285714285714288</v>
      </c>
      <c r="J22" s="211">
        <f t="shared" si="3"/>
        <v>4</v>
      </c>
      <c r="K22" s="205">
        <f t="shared" si="3"/>
        <v>5.1428571428571432</v>
      </c>
      <c r="L22" s="206"/>
      <c r="M22" s="356"/>
    </row>
    <row r="23" spans="1:19" ht="16.5" customHeight="1" x14ac:dyDescent="0.3">
      <c r="A23" s="352"/>
      <c r="B23" s="196" t="s">
        <v>145</v>
      </c>
      <c r="C23" s="108"/>
      <c r="D23" s="15"/>
      <c r="E23" s="14">
        <v>3</v>
      </c>
      <c r="F23" s="138">
        <f>C23+D23+E23</f>
        <v>3</v>
      </c>
      <c r="G23" s="117">
        <v>46013</v>
      </c>
      <c r="H23" s="37">
        <v>46014</v>
      </c>
      <c r="I23" s="37">
        <v>46020</v>
      </c>
      <c r="J23" s="201">
        <v>46051</v>
      </c>
      <c r="K23" s="201">
        <v>46086</v>
      </c>
      <c r="L23" s="202">
        <f>(K24-G23+1)/7</f>
        <v>12.428571428571429</v>
      </c>
      <c r="M23" s="357" t="s">
        <v>150</v>
      </c>
      <c r="O23" s="26"/>
      <c r="R23" s="39"/>
    </row>
    <row r="24" spans="1:19" ht="16.5" customHeight="1" x14ac:dyDescent="0.3">
      <c r="A24" s="352"/>
      <c r="B24" s="196"/>
      <c r="C24" s="108"/>
      <c r="D24" s="15"/>
      <c r="E24" s="214"/>
      <c r="F24" s="138"/>
      <c r="G24" s="118"/>
      <c r="H24" s="19">
        <v>46017</v>
      </c>
      <c r="I24" s="209">
        <v>46050</v>
      </c>
      <c r="J24" s="209">
        <v>46082</v>
      </c>
      <c r="K24" s="203">
        <v>46099</v>
      </c>
      <c r="L24" s="204"/>
      <c r="M24" s="355"/>
    </row>
    <row r="25" spans="1:19" ht="16.5" customHeight="1" x14ac:dyDescent="0.3">
      <c r="A25" s="352"/>
      <c r="B25" s="215"/>
      <c r="C25" s="109"/>
      <c r="D25" s="29"/>
      <c r="E25" s="216"/>
      <c r="F25" s="139"/>
      <c r="G25" s="119"/>
      <c r="H25" s="33">
        <f t="shared" ref="H25:K25" si="4">(H24-H23+1)/7</f>
        <v>0.5714285714285714</v>
      </c>
      <c r="I25" s="205">
        <f t="shared" si="4"/>
        <v>4.4285714285714288</v>
      </c>
      <c r="J25" s="211">
        <f t="shared" si="4"/>
        <v>4.5714285714285712</v>
      </c>
      <c r="K25" s="205">
        <f t="shared" si="4"/>
        <v>2</v>
      </c>
      <c r="L25" s="206"/>
      <c r="M25" s="356"/>
    </row>
    <row r="26" spans="1:19" ht="16.5" customHeight="1" x14ac:dyDescent="0.3">
      <c r="A26" s="352"/>
      <c r="B26" s="196" t="s">
        <v>146</v>
      </c>
      <c r="C26" s="108">
        <v>9</v>
      </c>
      <c r="D26" s="15">
        <v>7</v>
      </c>
      <c r="E26" s="197"/>
      <c r="F26" s="138">
        <f>C26+D26+E26</f>
        <v>16</v>
      </c>
      <c r="G26" s="117">
        <v>46013</v>
      </c>
      <c r="H26" s="37">
        <v>46014</v>
      </c>
      <c r="I26" s="37">
        <v>46020</v>
      </c>
      <c r="J26" s="201">
        <v>46051</v>
      </c>
      <c r="K26" s="201">
        <v>46087</v>
      </c>
      <c r="L26" s="202">
        <f>(K27-G26+1)/7</f>
        <v>13.285714285714286</v>
      </c>
      <c r="M26" s="357" t="s">
        <v>150</v>
      </c>
    </row>
    <row r="27" spans="1:19" ht="16.5" customHeight="1" x14ac:dyDescent="0.3">
      <c r="A27" s="352"/>
      <c r="B27" s="196"/>
      <c r="C27" s="108"/>
      <c r="D27" s="15"/>
      <c r="E27" s="214"/>
      <c r="F27" s="138"/>
      <c r="G27" s="118"/>
      <c r="H27" s="19">
        <v>46017</v>
      </c>
      <c r="I27" s="209">
        <v>46050</v>
      </c>
      <c r="J27" s="209">
        <v>46082</v>
      </c>
      <c r="K27" s="203">
        <v>46105</v>
      </c>
      <c r="L27" s="204"/>
      <c r="M27" s="355"/>
    </row>
    <row r="28" spans="1:19" ht="16.5" customHeight="1" x14ac:dyDescent="0.3">
      <c r="A28" s="352"/>
      <c r="B28" s="215"/>
      <c r="C28" s="109"/>
      <c r="D28" s="29"/>
      <c r="E28" s="216"/>
      <c r="F28" s="139"/>
      <c r="G28" s="119"/>
      <c r="H28" s="33">
        <f t="shared" ref="H28:K28" si="5">(H27-H26+1)/7</f>
        <v>0.5714285714285714</v>
      </c>
      <c r="I28" s="205">
        <f t="shared" si="5"/>
        <v>4.4285714285714288</v>
      </c>
      <c r="J28" s="211">
        <f t="shared" si="5"/>
        <v>4.5714285714285712</v>
      </c>
      <c r="K28" s="205">
        <f t="shared" si="5"/>
        <v>2.7142857142857144</v>
      </c>
      <c r="L28" s="206"/>
      <c r="M28" s="356"/>
    </row>
    <row r="29" spans="1:19" ht="16.5" customHeight="1" x14ac:dyDescent="0.3">
      <c r="A29" s="352"/>
      <c r="B29" s="13" t="s">
        <v>86</v>
      </c>
      <c r="C29" s="108"/>
      <c r="D29" s="15">
        <v>14</v>
      </c>
      <c r="E29" s="197"/>
      <c r="F29" s="138">
        <f t="shared" ref="F29" si="6">C29+D29+E29</f>
        <v>14</v>
      </c>
      <c r="G29" s="207">
        <v>46041</v>
      </c>
      <c r="H29" s="201">
        <v>46042</v>
      </c>
      <c r="I29" s="201">
        <v>46051</v>
      </c>
      <c r="J29" s="201">
        <v>46076</v>
      </c>
      <c r="K29" s="201">
        <v>46106</v>
      </c>
      <c r="L29" s="202">
        <f>(K30-G29+1)/7</f>
        <v>11.428571428571429</v>
      </c>
      <c r="M29" s="357" t="s">
        <v>151</v>
      </c>
      <c r="O29" s="26"/>
    </row>
    <row r="30" spans="1:19" ht="16.5" customHeight="1" x14ac:dyDescent="0.3">
      <c r="A30" s="352"/>
      <c r="B30" s="13"/>
      <c r="C30" s="108"/>
      <c r="D30" s="15"/>
      <c r="E30" s="214"/>
      <c r="F30" s="138"/>
      <c r="G30" s="208"/>
      <c r="H30" s="209">
        <v>46045</v>
      </c>
      <c r="I30" s="209">
        <v>46075</v>
      </c>
      <c r="J30" s="209">
        <v>46103</v>
      </c>
      <c r="K30" s="203">
        <v>46120</v>
      </c>
      <c r="L30" s="204"/>
      <c r="M30" s="355"/>
    </row>
    <row r="31" spans="1:19" ht="16.5" customHeight="1" x14ac:dyDescent="0.3">
      <c r="A31" s="352"/>
      <c r="B31" s="217"/>
      <c r="C31" s="109"/>
      <c r="D31" s="29"/>
      <c r="E31" s="216"/>
      <c r="F31" s="139"/>
      <c r="G31" s="210"/>
      <c r="H31" s="205">
        <f t="shared" ref="H31:K31" si="7">(H30-H29+1)/7</f>
        <v>0.5714285714285714</v>
      </c>
      <c r="I31" s="205">
        <f t="shared" si="7"/>
        <v>3.5714285714285716</v>
      </c>
      <c r="J31" s="211">
        <f t="shared" si="7"/>
        <v>4</v>
      </c>
      <c r="K31" s="205">
        <f t="shared" si="7"/>
        <v>2.1428571428571428</v>
      </c>
      <c r="L31" s="206"/>
      <c r="M31" s="356"/>
    </row>
    <row r="32" spans="1:19" ht="16.5" customHeight="1" x14ac:dyDescent="0.3">
      <c r="A32" s="352"/>
      <c r="B32" s="13" t="s">
        <v>87</v>
      </c>
      <c r="C32" s="108"/>
      <c r="D32" s="15">
        <v>18</v>
      </c>
      <c r="E32" s="14"/>
      <c r="F32" s="138">
        <f t="shared" ref="F32" si="8">C32+D32+E32</f>
        <v>18</v>
      </c>
      <c r="G32" s="207">
        <v>46062</v>
      </c>
      <c r="H32" s="201">
        <v>46063</v>
      </c>
      <c r="I32" s="201">
        <v>46076</v>
      </c>
      <c r="J32" s="201">
        <v>46111</v>
      </c>
      <c r="K32" s="201">
        <v>46118</v>
      </c>
      <c r="L32" s="202">
        <f>(K33-G32+1)/7</f>
        <v>11.571428571428571</v>
      </c>
      <c r="M32" s="357" t="s">
        <v>152</v>
      </c>
    </row>
    <row r="33" spans="1:20" ht="16.5" customHeight="1" x14ac:dyDescent="0.3">
      <c r="A33" s="352"/>
      <c r="B33" s="13"/>
      <c r="C33" s="108"/>
      <c r="D33" s="15"/>
      <c r="E33" s="14"/>
      <c r="F33" s="138"/>
      <c r="G33" s="208"/>
      <c r="H33" s="209">
        <v>46066</v>
      </c>
      <c r="I33" s="209">
        <v>46108</v>
      </c>
      <c r="J33" s="209">
        <v>46117</v>
      </c>
      <c r="K33" s="203">
        <v>46142</v>
      </c>
      <c r="L33" s="204"/>
      <c r="M33" s="355"/>
    </row>
    <row r="34" spans="1:20" ht="16.5" customHeight="1" x14ac:dyDescent="0.3">
      <c r="A34" s="352"/>
      <c r="B34" s="217"/>
      <c r="C34" s="109"/>
      <c r="D34" s="29"/>
      <c r="E34" s="28"/>
      <c r="F34" s="139"/>
      <c r="G34" s="210"/>
      <c r="H34" s="205">
        <f t="shared" ref="H34:K34" si="9">(H33-H32+1)/7</f>
        <v>0.5714285714285714</v>
      </c>
      <c r="I34" s="205">
        <f t="shared" si="9"/>
        <v>4.7142857142857144</v>
      </c>
      <c r="J34" s="211">
        <f t="shared" si="9"/>
        <v>1</v>
      </c>
      <c r="K34" s="205">
        <f t="shared" si="9"/>
        <v>3.5714285714285716</v>
      </c>
      <c r="L34" s="206"/>
      <c r="M34" s="356"/>
    </row>
    <row r="35" spans="1:20" ht="16.5" customHeight="1" x14ac:dyDescent="0.3">
      <c r="A35" s="352"/>
      <c r="B35" s="13" t="s">
        <v>88</v>
      </c>
      <c r="C35" s="108"/>
      <c r="D35" s="15">
        <v>19</v>
      </c>
      <c r="E35" s="14"/>
      <c r="F35" s="138">
        <f t="shared" ref="F35" si="10">C35+D35+E35</f>
        <v>19</v>
      </c>
      <c r="G35" s="207">
        <v>46104</v>
      </c>
      <c r="H35" s="201">
        <v>46105</v>
      </c>
      <c r="I35" s="201">
        <v>46111</v>
      </c>
      <c r="J35" s="209"/>
      <c r="K35" s="201">
        <v>46148</v>
      </c>
      <c r="L35" s="202">
        <f>(K36-G35+1)/7</f>
        <v>9.7142857142857135</v>
      </c>
      <c r="M35" s="365" t="s">
        <v>153</v>
      </c>
      <c r="O35" s="26"/>
    </row>
    <row r="36" spans="1:20" ht="16.5" customHeight="1" x14ac:dyDescent="0.3">
      <c r="A36" s="352"/>
      <c r="B36" s="13"/>
      <c r="C36" s="108"/>
      <c r="D36" s="15"/>
      <c r="E36" s="14"/>
      <c r="F36" s="138"/>
      <c r="G36" s="208"/>
      <c r="H36" s="209">
        <v>46108</v>
      </c>
      <c r="I36" s="209">
        <v>46142</v>
      </c>
      <c r="J36" s="209"/>
      <c r="K36" s="203">
        <v>46171</v>
      </c>
      <c r="L36" s="204"/>
      <c r="M36" s="366"/>
    </row>
    <row r="37" spans="1:20" ht="16.5" customHeight="1" thickBot="1" x14ac:dyDescent="0.35">
      <c r="A37" s="353"/>
      <c r="B37" s="47"/>
      <c r="C37" s="111"/>
      <c r="D37" s="49"/>
      <c r="E37" s="48"/>
      <c r="F37" s="105"/>
      <c r="G37" s="218"/>
      <c r="H37" s="219">
        <f t="shared" ref="H37:I37" si="11">(H36-H35+1)/7</f>
        <v>0.5714285714285714</v>
      </c>
      <c r="I37" s="219">
        <f t="shared" si="11"/>
        <v>4.5714285714285712</v>
      </c>
      <c r="J37" s="211"/>
      <c r="K37" s="219">
        <f t="shared" ref="K37" si="12">(K36-K35+1)/7</f>
        <v>3.4285714285714284</v>
      </c>
      <c r="L37" s="221"/>
      <c r="M37" s="367"/>
      <c r="Q37" s="39"/>
    </row>
    <row r="38" spans="1:20" ht="24" customHeight="1" thickBot="1" x14ac:dyDescent="0.35">
      <c r="A38" s="348" t="s">
        <v>10</v>
      </c>
      <c r="B38" s="349"/>
      <c r="C38" s="222">
        <f>SUM(C14:C37)</f>
        <v>9</v>
      </c>
      <c r="D38" s="223">
        <f>SUM(D14:D37)</f>
        <v>74</v>
      </c>
      <c r="E38" s="224">
        <f>SUM(E14:E37)</f>
        <v>16</v>
      </c>
      <c r="F38" s="225">
        <f>SUM(C38:E38)</f>
        <v>99</v>
      </c>
      <c r="G38" s="459" t="s">
        <v>42</v>
      </c>
      <c r="H38" s="451"/>
      <c r="I38" s="451"/>
      <c r="J38" s="451"/>
      <c r="K38" s="452"/>
      <c r="L38" s="226">
        <f>AVERAGE(L14:L37)</f>
        <v>12.732142857142858</v>
      </c>
      <c r="M38" s="227" t="s">
        <v>41</v>
      </c>
      <c r="O38" s="350" t="s">
        <v>43</v>
      </c>
      <c r="P38" s="350"/>
    </row>
    <row r="39" spans="1:20" ht="15" customHeight="1" x14ac:dyDescent="0.3">
      <c r="A39" s="351" t="s">
        <v>128</v>
      </c>
      <c r="B39" s="63" t="s">
        <v>129</v>
      </c>
      <c r="C39" s="191">
        <v>6</v>
      </c>
      <c r="D39" s="65"/>
      <c r="E39" s="64">
        <v>8</v>
      </c>
      <c r="F39" s="248">
        <f>C39+D39+E39</f>
        <v>14</v>
      </c>
      <c r="G39" s="240">
        <v>46153</v>
      </c>
      <c r="H39" s="241">
        <v>45789</v>
      </c>
      <c r="I39" s="241">
        <v>46160</v>
      </c>
      <c r="J39" s="247"/>
      <c r="K39" s="241">
        <v>46188</v>
      </c>
      <c r="L39" s="242">
        <f>(K40-G39+1)/7</f>
        <v>9</v>
      </c>
      <c r="M39" s="354" t="s">
        <v>154</v>
      </c>
      <c r="N39" s="71"/>
      <c r="O39" s="5" t="s">
        <v>47</v>
      </c>
      <c r="P39" s="72" t="e">
        <f>AVERAGE(H41,H44,H47,H50,H53,#REF!,#REF!,#REF!,#REF!,#REF!)</f>
        <v>#REF!</v>
      </c>
      <c r="Q39" s="5">
        <v>1</v>
      </c>
      <c r="R39" s="39"/>
    </row>
    <row r="40" spans="1:20" ht="15" customHeight="1" x14ac:dyDescent="0.3">
      <c r="A40" s="352"/>
      <c r="B40" s="13"/>
      <c r="C40" s="108"/>
      <c r="D40" s="15"/>
      <c r="E40" s="14"/>
      <c r="F40" s="138"/>
      <c r="G40" s="208"/>
      <c r="H40" s="209">
        <v>45792</v>
      </c>
      <c r="I40" s="209">
        <v>46185</v>
      </c>
      <c r="J40" s="229"/>
      <c r="K40" s="203">
        <v>46215</v>
      </c>
      <c r="L40" s="204"/>
      <c r="M40" s="355"/>
      <c r="N40" s="71"/>
      <c r="O40" s="5" t="s">
        <v>48</v>
      </c>
      <c r="P40" s="72" t="e">
        <f>AVERAGE(I41,I44,I47,I50,I53,#REF!,#REF!,#REF!,#REF!,#REF!)</f>
        <v>#REF!</v>
      </c>
      <c r="Q40" s="5">
        <v>6</v>
      </c>
    </row>
    <row r="41" spans="1:20" ht="15" customHeight="1" x14ac:dyDescent="0.3">
      <c r="A41" s="352"/>
      <c r="B41" s="27"/>
      <c r="C41" s="109"/>
      <c r="D41" s="29"/>
      <c r="E41" s="28"/>
      <c r="F41" s="139"/>
      <c r="G41" s="210"/>
      <c r="H41" s="205">
        <f t="shared" ref="H41" si="13">(H40-H39+1)/7</f>
        <v>0.5714285714285714</v>
      </c>
      <c r="I41" s="205">
        <f>(I40-I39+1)/7</f>
        <v>3.7142857142857144</v>
      </c>
      <c r="J41" s="233"/>
      <c r="K41" s="205">
        <f>(K40-K39+1)/7</f>
        <v>4</v>
      </c>
      <c r="L41" s="206"/>
      <c r="M41" s="356"/>
      <c r="N41" s="71"/>
      <c r="O41" s="5" t="s">
        <v>49</v>
      </c>
      <c r="P41" s="72" t="e">
        <f>AVERAGE(K41,K44,K47,K50,K53,#REF!,#REF!,#REF!,#REF!,#REF!)</f>
        <v>#REF!</v>
      </c>
      <c r="Q41" s="5">
        <v>5</v>
      </c>
      <c r="R41" s="39"/>
    </row>
    <row r="42" spans="1:20" ht="15" customHeight="1" x14ac:dyDescent="0.3">
      <c r="A42" s="352"/>
      <c r="B42" s="13" t="s">
        <v>130</v>
      </c>
      <c r="C42" s="108">
        <v>18</v>
      </c>
      <c r="D42" s="15"/>
      <c r="E42" s="14">
        <v>8</v>
      </c>
      <c r="F42" s="138">
        <f t="shared" ref="F42" si="14">C42+D42+E42</f>
        <v>26</v>
      </c>
      <c r="G42" s="249">
        <v>46188</v>
      </c>
      <c r="H42" s="251">
        <v>46189</v>
      </c>
      <c r="I42" s="250">
        <v>46195</v>
      </c>
      <c r="J42" s="250"/>
      <c r="K42" s="250">
        <v>46223</v>
      </c>
      <c r="L42" s="204">
        <f>(K43-G42+1)/7</f>
        <v>10.714285714285714</v>
      </c>
      <c r="M42" s="357" t="s">
        <v>155</v>
      </c>
      <c r="P42" s="76"/>
      <c r="Q42" s="39"/>
    </row>
    <row r="43" spans="1:20" ht="15" customHeight="1" x14ac:dyDescent="0.3">
      <c r="A43" s="352"/>
      <c r="B43" s="13"/>
      <c r="C43" s="108"/>
      <c r="D43" s="15"/>
      <c r="E43" s="14"/>
      <c r="F43" s="138"/>
      <c r="G43" s="208"/>
      <c r="H43" s="251">
        <v>46192</v>
      </c>
      <c r="I43" s="251">
        <v>46224</v>
      </c>
      <c r="J43" s="251"/>
      <c r="K43" s="252">
        <v>46262</v>
      </c>
      <c r="L43" s="204"/>
      <c r="M43" s="355"/>
    </row>
    <row r="44" spans="1:20" ht="15" customHeight="1" x14ac:dyDescent="0.3">
      <c r="A44" s="352"/>
      <c r="B44" s="27"/>
      <c r="C44" s="109"/>
      <c r="D44" s="29"/>
      <c r="E44" s="28"/>
      <c r="F44" s="139"/>
      <c r="G44" s="210"/>
      <c r="H44" s="253">
        <f t="shared" ref="H44:K44" si="15">(H43-H42+1)/7</f>
        <v>0.5714285714285714</v>
      </c>
      <c r="I44" s="253">
        <f t="shared" si="15"/>
        <v>4.2857142857142856</v>
      </c>
      <c r="J44" s="253"/>
      <c r="K44" s="253">
        <f t="shared" si="15"/>
        <v>5.7142857142857144</v>
      </c>
      <c r="L44" s="206"/>
      <c r="M44" s="356"/>
      <c r="P44" s="39"/>
      <c r="R44" s="39"/>
    </row>
    <row r="45" spans="1:20" ht="15" customHeight="1" x14ac:dyDescent="0.3">
      <c r="A45" s="352"/>
      <c r="B45" s="13" t="s">
        <v>131</v>
      </c>
      <c r="C45" s="108">
        <v>18</v>
      </c>
      <c r="D45" s="15"/>
      <c r="E45" s="14">
        <v>8</v>
      </c>
      <c r="F45" s="138">
        <f t="shared" ref="F45" si="16">C45+D45+E45</f>
        <v>26</v>
      </c>
      <c r="G45" s="243">
        <v>46216</v>
      </c>
      <c r="H45" s="209">
        <v>46217</v>
      </c>
      <c r="I45" s="201">
        <v>46223</v>
      </c>
      <c r="J45" s="228"/>
      <c r="K45" s="201">
        <v>46260</v>
      </c>
      <c r="L45" s="204">
        <f t="shared" ref="L45" si="17">(K46-G45+1)/7</f>
        <v>13.285714285714286</v>
      </c>
      <c r="M45" s="357" t="s">
        <v>173</v>
      </c>
      <c r="O45" s="39"/>
      <c r="T45" s="39"/>
    </row>
    <row r="46" spans="1:20" ht="15" customHeight="1" x14ac:dyDescent="0.3">
      <c r="A46" s="352"/>
      <c r="B46" s="13"/>
      <c r="C46" s="108"/>
      <c r="D46" s="15"/>
      <c r="E46" s="14"/>
      <c r="F46" s="138"/>
      <c r="G46" s="208"/>
      <c r="H46" s="209">
        <v>46220</v>
      </c>
      <c r="I46" s="209">
        <v>46255</v>
      </c>
      <c r="J46" s="229"/>
      <c r="K46" s="203">
        <v>46308</v>
      </c>
      <c r="L46" s="204"/>
      <c r="M46" s="355"/>
      <c r="O46" s="77"/>
      <c r="Q46" s="77"/>
      <c r="R46" s="77"/>
    </row>
    <row r="47" spans="1:20" ht="15" customHeight="1" x14ac:dyDescent="0.3">
      <c r="A47" s="352"/>
      <c r="B47" s="27"/>
      <c r="C47" s="109"/>
      <c r="D47" s="29"/>
      <c r="E47" s="28"/>
      <c r="F47" s="139"/>
      <c r="G47" s="210"/>
      <c r="H47" s="205">
        <f t="shared" ref="H47:K47" si="18">(H46-H45+1)/7</f>
        <v>0.5714285714285714</v>
      </c>
      <c r="I47" s="205">
        <f t="shared" si="18"/>
        <v>4.7142857142857144</v>
      </c>
      <c r="J47" s="233"/>
      <c r="K47" s="205">
        <f t="shared" si="18"/>
        <v>7</v>
      </c>
      <c r="L47" s="206"/>
      <c r="M47" s="356"/>
      <c r="O47" s="77">
        <v>11.1</v>
      </c>
      <c r="P47" s="77">
        <v>15.1</v>
      </c>
      <c r="Q47" s="77">
        <f t="shared" ref="Q47:Q52" si="19">O47-P47</f>
        <v>-4</v>
      </c>
      <c r="R47" s="77"/>
    </row>
    <row r="48" spans="1:20" ht="15" customHeight="1" x14ac:dyDescent="0.3">
      <c r="A48" s="352"/>
      <c r="B48" s="13" t="s">
        <v>132</v>
      </c>
      <c r="C48" s="108"/>
      <c r="D48" s="15">
        <v>14</v>
      </c>
      <c r="E48" s="14">
        <v>8</v>
      </c>
      <c r="F48" s="138">
        <f t="shared" ref="F48" si="20">C48+D48+E48</f>
        <v>22</v>
      </c>
      <c r="G48" s="243">
        <v>46252</v>
      </c>
      <c r="H48" s="209">
        <v>46253</v>
      </c>
      <c r="I48" s="201">
        <v>46258</v>
      </c>
      <c r="J48" s="201">
        <v>46286</v>
      </c>
      <c r="K48" s="201">
        <v>46307</v>
      </c>
      <c r="L48" s="204">
        <f>(K49-G48+1)/7</f>
        <v>11.857142857142858</v>
      </c>
      <c r="M48" s="357" t="s">
        <v>157</v>
      </c>
      <c r="O48" s="77">
        <v>10.7</v>
      </c>
      <c r="P48" s="77">
        <v>15.1</v>
      </c>
      <c r="Q48" s="77">
        <f t="shared" si="19"/>
        <v>-4.4000000000000004</v>
      </c>
      <c r="R48" s="77"/>
    </row>
    <row r="49" spans="1:19" ht="15" customHeight="1" x14ac:dyDescent="0.3">
      <c r="A49" s="352"/>
      <c r="B49" s="13"/>
      <c r="C49" s="108"/>
      <c r="D49" s="15"/>
      <c r="E49" s="14"/>
      <c r="F49" s="138"/>
      <c r="G49" s="208"/>
      <c r="H49" s="209">
        <v>46255</v>
      </c>
      <c r="I49" s="209">
        <v>46285</v>
      </c>
      <c r="J49" s="209">
        <v>46306</v>
      </c>
      <c r="K49" s="203">
        <v>46334</v>
      </c>
      <c r="L49" s="204"/>
      <c r="M49" s="355"/>
      <c r="O49" s="77">
        <v>10.3</v>
      </c>
      <c r="P49" s="77">
        <v>14.7</v>
      </c>
      <c r="Q49" s="77">
        <f t="shared" si="19"/>
        <v>-4.3999999999999986</v>
      </c>
      <c r="R49" s="77"/>
    </row>
    <row r="50" spans="1:19" ht="15" customHeight="1" x14ac:dyDescent="0.3">
      <c r="A50" s="352"/>
      <c r="B50" s="27"/>
      <c r="C50" s="109"/>
      <c r="D50" s="29"/>
      <c r="E50" s="28"/>
      <c r="F50" s="139"/>
      <c r="G50" s="210"/>
      <c r="H50" s="205">
        <f t="shared" ref="H50:K50" si="21">(H49-H48+1)/7</f>
        <v>0.42857142857142855</v>
      </c>
      <c r="I50" s="205">
        <f t="shared" si="21"/>
        <v>4</v>
      </c>
      <c r="J50" s="205">
        <f t="shared" si="21"/>
        <v>3</v>
      </c>
      <c r="K50" s="205">
        <f t="shared" si="21"/>
        <v>4</v>
      </c>
      <c r="L50" s="206"/>
      <c r="M50" s="356"/>
      <c r="O50" s="77">
        <v>7.7</v>
      </c>
      <c r="P50" s="77">
        <v>10.7</v>
      </c>
      <c r="Q50" s="77">
        <f t="shared" si="19"/>
        <v>-2.9999999999999991</v>
      </c>
      <c r="R50" s="77"/>
    </row>
    <row r="51" spans="1:19" ht="15" customHeight="1" x14ac:dyDescent="0.3">
      <c r="A51" s="352"/>
      <c r="B51" s="13" t="s">
        <v>133</v>
      </c>
      <c r="C51" s="108"/>
      <c r="D51" s="15">
        <v>14</v>
      </c>
      <c r="E51" s="14">
        <v>8</v>
      </c>
      <c r="F51" s="138">
        <f t="shared" ref="F51" si="22">C51+D51+E51</f>
        <v>22</v>
      </c>
      <c r="G51" s="243">
        <v>46293</v>
      </c>
      <c r="H51" s="209">
        <v>46294</v>
      </c>
      <c r="I51" s="201">
        <v>46300</v>
      </c>
      <c r="J51" s="228"/>
      <c r="K51" s="201">
        <v>46335</v>
      </c>
      <c r="L51" s="204">
        <f t="shared" ref="L51" si="23">(K52-G51+1)/7</f>
        <v>9</v>
      </c>
      <c r="M51" s="357" t="s">
        <v>158</v>
      </c>
      <c r="O51" s="77">
        <v>9.6999999999999993</v>
      </c>
      <c r="P51" s="77">
        <v>9.6999999999999993</v>
      </c>
      <c r="Q51" s="77">
        <f t="shared" si="19"/>
        <v>0</v>
      </c>
      <c r="R51" s="77"/>
    </row>
    <row r="52" spans="1:19" ht="15" customHeight="1" x14ac:dyDescent="0.3">
      <c r="A52" s="352"/>
      <c r="B52" s="13"/>
      <c r="C52" s="108"/>
      <c r="D52" s="15"/>
      <c r="E52" s="14"/>
      <c r="F52" s="138"/>
      <c r="G52" s="208"/>
      <c r="H52" s="209">
        <v>46297</v>
      </c>
      <c r="I52" s="209">
        <v>46332</v>
      </c>
      <c r="J52" s="229"/>
      <c r="K52" s="203">
        <v>46355</v>
      </c>
      <c r="L52" s="204"/>
      <c r="M52" s="355"/>
      <c r="O52" s="77">
        <v>9.6</v>
      </c>
      <c r="P52" s="77">
        <v>9.6</v>
      </c>
      <c r="Q52" s="77">
        <f t="shared" si="19"/>
        <v>0</v>
      </c>
      <c r="R52" s="77"/>
      <c r="S52" s="72"/>
    </row>
    <row r="53" spans="1:19" ht="15" customHeight="1" x14ac:dyDescent="0.3">
      <c r="A53" s="352"/>
      <c r="B53" s="27"/>
      <c r="C53" s="109"/>
      <c r="D53" s="29"/>
      <c r="E53" s="28"/>
      <c r="F53" s="139"/>
      <c r="G53" s="210"/>
      <c r="H53" s="205">
        <f t="shared" ref="H53:I53" si="24">(H52-H51+1)/7</f>
        <v>0.5714285714285714</v>
      </c>
      <c r="I53" s="205">
        <f t="shared" si="24"/>
        <v>4.7142857142857144</v>
      </c>
      <c r="J53" s="232"/>
      <c r="K53" s="205">
        <f t="shared" ref="K53" si="25">(K52-K51+1)/7</f>
        <v>3</v>
      </c>
      <c r="L53" s="206"/>
      <c r="M53" s="356"/>
      <c r="O53" s="77"/>
      <c r="P53" s="77"/>
      <c r="Q53" s="77"/>
      <c r="R53" s="77"/>
    </row>
    <row r="54" spans="1:19" ht="15" customHeight="1" x14ac:dyDescent="0.3">
      <c r="A54" s="352"/>
      <c r="B54" s="13" t="s">
        <v>134</v>
      </c>
      <c r="C54" s="108">
        <v>6</v>
      </c>
      <c r="D54" s="15"/>
      <c r="E54" s="14">
        <v>8</v>
      </c>
      <c r="F54" s="138">
        <f>C54+D54+E54</f>
        <v>14</v>
      </c>
      <c r="G54" s="243">
        <v>46363</v>
      </c>
      <c r="H54" s="209">
        <v>46364</v>
      </c>
      <c r="I54" s="201">
        <v>46370</v>
      </c>
      <c r="J54" s="228"/>
      <c r="K54" s="228"/>
      <c r="L54" s="231"/>
      <c r="M54" s="358"/>
      <c r="O54" s="77"/>
      <c r="P54" s="77"/>
      <c r="Q54" s="77"/>
      <c r="R54" s="77"/>
    </row>
    <row r="55" spans="1:19" ht="15" customHeight="1" x14ac:dyDescent="0.3">
      <c r="A55" s="352"/>
      <c r="B55" s="13"/>
      <c r="C55" s="108"/>
      <c r="D55" s="15"/>
      <c r="E55" s="14"/>
      <c r="F55" s="138"/>
      <c r="G55" s="208"/>
      <c r="H55" s="209">
        <v>46367</v>
      </c>
      <c r="I55" s="229"/>
      <c r="J55" s="229"/>
      <c r="K55" s="230"/>
      <c r="L55" s="231"/>
      <c r="M55" s="359"/>
      <c r="O55" s="77"/>
      <c r="P55" s="77"/>
      <c r="Q55" s="77"/>
      <c r="R55" s="77"/>
    </row>
    <row r="56" spans="1:19" ht="15" customHeight="1" x14ac:dyDescent="0.3">
      <c r="A56" s="352"/>
      <c r="B56" s="27"/>
      <c r="C56" s="109"/>
      <c r="D56" s="29"/>
      <c r="E56" s="28"/>
      <c r="F56" s="139"/>
      <c r="G56" s="210"/>
      <c r="H56" s="205">
        <f t="shared" ref="H56" si="26">(H55-H54+1)/7</f>
        <v>0.5714285714285714</v>
      </c>
      <c r="I56" s="233"/>
      <c r="J56" s="232"/>
      <c r="K56" s="233"/>
      <c r="L56" s="234"/>
      <c r="M56" s="360"/>
      <c r="O56" s="77"/>
      <c r="P56" s="77"/>
      <c r="Q56" s="77"/>
      <c r="R56" s="77"/>
    </row>
    <row r="57" spans="1:19" ht="15" customHeight="1" x14ac:dyDescent="0.3">
      <c r="A57" s="352"/>
      <c r="B57" s="13" t="s">
        <v>135</v>
      </c>
      <c r="C57" s="108"/>
      <c r="D57" s="15">
        <v>14</v>
      </c>
      <c r="E57" s="14">
        <v>8</v>
      </c>
      <c r="F57" s="138">
        <f>C57+D57+E57</f>
        <v>22</v>
      </c>
      <c r="G57" s="243">
        <v>46398</v>
      </c>
      <c r="H57" s="229"/>
      <c r="I57" s="228"/>
      <c r="J57" s="228"/>
      <c r="K57" s="228"/>
      <c r="L57" s="231"/>
      <c r="M57" s="361"/>
      <c r="O57" s="77"/>
      <c r="P57" s="77"/>
      <c r="Q57" s="77"/>
      <c r="R57" s="77"/>
    </row>
    <row r="58" spans="1:19" ht="15" customHeight="1" x14ac:dyDescent="0.3">
      <c r="A58" s="352"/>
      <c r="B58" s="13"/>
      <c r="C58" s="108"/>
      <c r="D58" s="15"/>
      <c r="E58" s="14"/>
      <c r="F58" s="138"/>
      <c r="G58" s="208"/>
      <c r="H58" s="229"/>
      <c r="I58" s="229"/>
      <c r="J58" s="229"/>
      <c r="K58" s="230"/>
      <c r="L58" s="231"/>
      <c r="M58" s="362"/>
      <c r="O58" s="77"/>
      <c r="P58" s="77"/>
      <c r="Q58" s="77"/>
      <c r="R58" s="77"/>
    </row>
    <row r="59" spans="1:19" ht="15" customHeight="1" x14ac:dyDescent="0.3">
      <c r="A59" s="352"/>
      <c r="B59" s="27"/>
      <c r="C59" s="109"/>
      <c r="D59" s="29"/>
      <c r="E59" s="28"/>
      <c r="F59" s="139"/>
      <c r="G59" s="210"/>
      <c r="H59" s="233"/>
      <c r="I59" s="233"/>
      <c r="J59" s="232"/>
      <c r="K59" s="233"/>
      <c r="L59" s="234"/>
      <c r="M59" s="363"/>
      <c r="O59" s="77"/>
      <c r="P59" s="77"/>
      <c r="Q59" s="77"/>
      <c r="R59" s="77"/>
    </row>
    <row r="60" spans="1:19" ht="15" customHeight="1" x14ac:dyDescent="0.3">
      <c r="A60" s="352"/>
      <c r="B60" s="13" t="s">
        <v>136</v>
      </c>
      <c r="C60" s="108">
        <v>1</v>
      </c>
      <c r="D60" s="15">
        <v>13</v>
      </c>
      <c r="E60" s="14">
        <v>8</v>
      </c>
      <c r="F60" s="138">
        <f t="shared" ref="F60" si="27">C60+D60+E60</f>
        <v>22</v>
      </c>
      <c r="G60" s="243">
        <v>46433</v>
      </c>
      <c r="H60" s="229"/>
      <c r="I60" s="228"/>
      <c r="J60" s="228"/>
      <c r="K60" s="228"/>
      <c r="L60" s="231"/>
      <c r="M60" s="361"/>
      <c r="O60" s="77"/>
      <c r="P60" s="77"/>
      <c r="Q60" s="77"/>
      <c r="R60" s="77"/>
    </row>
    <row r="61" spans="1:19" ht="15" customHeight="1" x14ac:dyDescent="0.3">
      <c r="A61" s="352"/>
      <c r="B61" s="13"/>
      <c r="C61" s="108"/>
      <c r="D61" s="15"/>
      <c r="E61" s="14"/>
      <c r="F61" s="138"/>
      <c r="G61" s="208"/>
      <c r="H61" s="229"/>
      <c r="I61" s="229"/>
      <c r="J61" s="229"/>
      <c r="K61" s="230"/>
      <c r="L61" s="231"/>
      <c r="M61" s="362"/>
      <c r="O61" s="77"/>
      <c r="P61" s="77"/>
      <c r="Q61" s="77"/>
      <c r="R61" s="77"/>
    </row>
    <row r="62" spans="1:19" ht="15" customHeight="1" x14ac:dyDescent="0.3">
      <c r="A62" s="352"/>
      <c r="B62" s="27"/>
      <c r="C62" s="109"/>
      <c r="D62" s="29"/>
      <c r="E62" s="28"/>
      <c r="F62" s="139"/>
      <c r="G62" s="210"/>
      <c r="H62" s="233"/>
      <c r="I62" s="233"/>
      <c r="J62" s="232"/>
      <c r="K62" s="233"/>
      <c r="L62" s="234"/>
      <c r="M62" s="363"/>
      <c r="O62" s="77"/>
      <c r="P62" s="77"/>
      <c r="Q62" s="77"/>
      <c r="R62" s="77"/>
    </row>
    <row r="63" spans="1:19" ht="15" customHeight="1" x14ac:dyDescent="0.3">
      <c r="A63" s="352"/>
      <c r="B63" s="13" t="s">
        <v>137</v>
      </c>
      <c r="C63" s="108"/>
      <c r="D63" s="15">
        <v>10</v>
      </c>
      <c r="E63" s="14">
        <v>8</v>
      </c>
      <c r="F63" s="138">
        <f t="shared" ref="F63" si="28">C63+D63+E63</f>
        <v>18</v>
      </c>
      <c r="G63" s="243">
        <v>46468</v>
      </c>
      <c r="H63" s="229"/>
      <c r="I63" s="228"/>
      <c r="J63" s="228"/>
      <c r="K63" s="228"/>
      <c r="L63" s="231"/>
      <c r="M63" s="361"/>
      <c r="O63" s="77"/>
      <c r="P63" s="77"/>
      <c r="Q63" s="77"/>
      <c r="R63" s="77"/>
    </row>
    <row r="64" spans="1:19" ht="15" customHeight="1" x14ac:dyDescent="0.3">
      <c r="A64" s="352"/>
      <c r="B64" s="13"/>
      <c r="C64" s="108"/>
      <c r="D64" s="15"/>
      <c r="E64" s="14"/>
      <c r="F64" s="138"/>
      <c r="G64" s="208"/>
      <c r="H64" s="229"/>
      <c r="I64" s="229"/>
      <c r="J64" s="229"/>
      <c r="K64" s="230"/>
      <c r="L64" s="231"/>
      <c r="M64" s="362"/>
      <c r="O64" s="77"/>
      <c r="P64" s="77"/>
      <c r="Q64" s="77"/>
      <c r="R64" s="77"/>
    </row>
    <row r="65" spans="1:18" ht="15" customHeight="1" thickBot="1" x14ac:dyDescent="0.35">
      <c r="A65" s="353"/>
      <c r="B65" s="47"/>
      <c r="C65" s="111"/>
      <c r="D65" s="49"/>
      <c r="E65" s="48"/>
      <c r="F65" s="105"/>
      <c r="G65" s="218"/>
      <c r="H65" s="236"/>
      <c r="I65" s="236"/>
      <c r="J65" s="235"/>
      <c r="K65" s="236"/>
      <c r="L65" s="237"/>
      <c r="M65" s="364"/>
      <c r="O65" s="77"/>
      <c r="P65" s="77"/>
      <c r="Q65" s="77"/>
      <c r="R65" s="77"/>
    </row>
    <row r="66" spans="1:18" ht="24" customHeight="1" thickBot="1" x14ac:dyDescent="0.35">
      <c r="A66" s="343" t="s">
        <v>10</v>
      </c>
      <c r="B66" s="344"/>
      <c r="C66" s="200">
        <f>SUM(C39:C65)</f>
        <v>49</v>
      </c>
      <c r="D66" s="58">
        <f>SUM(D39:D65)</f>
        <v>65</v>
      </c>
      <c r="E66" s="56">
        <f>SUM(E39:E65)</f>
        <v>72</v>
      </c>
      <c r="F66" s="140">
        <f>SUM(C66:E66)</f>
        <v>186</v>
      </c>
      <c r="G66" s="453" t="s">
        <v>42</v>
      </c>
      <c r="H66" s="454"/>
      <c r="I66" s="454"/>
      <c r="J66" s="454"/>
      <c r="K66" s="455"/>
      <c r="L66" s="61">
        <f>AVERAGE(L39:L65)</f>
        <v>10.771428571428572</v>
      </c>
      <c r="M66" s="62" t="s">
        <v>41</v>
      </c>
    </row>
    <row r="67" spans="1:18" ht="24" customHeight="1" thickBot="1" x14ac:dyDescent="0.35">
      <c r="A67" s="345" t="s">
        <v>69</v>
      </c>
      <c r="B67" s="346"/>
      <c r="C67" s="112">
        <f>C38+C66</f>
        <v>58</v>
      </c>
      <c r="D67" s="114">
        <f>D38+D66</f>
        <v>139</v>
      </c>
      <c r="E67" s="57">
        <f>E38+E66</f>
        <v>88</v>
      </c>
      <c r="F67" s="140">
        <f>SUM(C67:E67)</f>
        <v>285</v>
      </c>
      <c r="G67" s="456" t="s">
        <v>70</v>
      </c>
      <c r="H67" s="457"/>
      <c r="I67" s="457"/>
      <c r="J67" s="457"/>
      <c r="K67" s="458"/>
      <c r="L67" s="61">
        <f>AVERAGE(L38,L66)</f>
        <v>11.751785714285715</v>
      </c>
      <c r="M67" s="62" t="s">
        <v>41</v>
      </c>
    </row>
    <row r="68" spans="1:18" ht="45.75" customHeight="1" x14ac:dyDescent="0.3">
      <c r="A68" s="347" t="s">
        <v>71</v>
      </c>
      <c r="B68" s="347"/>
      <c r="C68" s="347"/>
      <c r="D68" s="347"/>
      <c r="E68" s="347"/>
      <c r="F68" s="347"/>
      <c r="G68" s="347"/>
      <c r="H68" s="347"/>
      <c r="I68" s="347"/>
      <c r="J68" s="347"/>
      <c r="K68" s="347"/>
      <c r="L68" s="347"/>
      <c r="M68" s="347"/>
    </row>
    <row r="69" spans="1:18" ht="17.25" x14ac:dyDescent="0.3">
      <c r="A69" s="194"/>
      <c r="H69" s="39"/>
    </row>
    <row r="70" spans="1:18" x14ac:dyDescent="0.3">
      <c r="G70" s="39"/>
      <c r="H70" s="39"/>
    </row>
    <row r="71" spans="1:18" x14ac:dyDescent="0.3">
      <c r="C71" s="39"/>
      <c r="D71" s="39"/>
      <c r="G71" s="39"/>
    </row>
  </sheetData>
  <mergeCells count="56">
    <mergeCell ref="A1:M1"/>
    <mergeCell ref="A3:B3"/>
    <mergeCell ref="A4:B4"/>
    <mergeCell ref="C4:F4"/>
    <mergeCell ref="G4:H4"/>
    <mergeCell ref="I4:M4"/>
    <mergeCell ref="A5:B5"/>
    <mergeCell ref="C5:F5"/>
    <mergeCell ref="G5:H5"/>
    <mergeCell ref="I5:M7"/>
    <mergeCell ref="A6:B6"/>
    <mergeCell ref="C6:F6"/>
    <mergeCell ref="G6:H6"/>
    <mergeCell ref="A7:B7"/>
    <mergeCell ref="C7:F7"/>
    <mergeCell ref="G7:H7"/>
    <mergeCell ref="A8:B8"/>
    <mergeCell ref="C8:F8"/>
    <mergeCell ref="G8:H8"/>
    <mergeCell ref="I8:M8"/>
    <mergeCell ref="A10:B10"/>
    <mergeCell ref="O38:P38"/>
    <mergeCell ref="M11:M13"/>
    <mergeCell ref="C12:D12"/>
    <mergeCell ref="G12:L12"/>
    <mergeCell ref="M14:M16"/>
    <mergeCell ref="M17:M19"/>
    <mergeCell ref="M20:M22"/>
    <mergeCell ref="M23:M25"/>
    <mergeCell ref="M26:M28"/>
    <mergeCell ref="M29:M31"/>
    <mergeCell ref="M32:M34"/>
    <mergeCell ref="M35:M37"/>
    <mergeCell ref="G66:K66"/>
    <mergeCell ref="A11:A13"/>
    <mergeCell ref="B11:B13"/>
    <mergeCell ref="C11:E11"/>
    <mergeCell ref="F11:F13"/>
    <mergeCell ref="G11:L11"/>
    <mergeCell ref="A14:A37"/>
    <mergeCell ref="A67:B67"/>
    <mergeCell ref="G67:K67"/>
    <mergeCell ref="A38:B38"/>
    <mergeCell ref="G38:K38"/>
    <mergeCell ref="A68:M68"/>
    <mergeCell ref="A39:A65"/>
    <mergeCell ref="M39:M41"/>
    <mergeCell ref="M42:M44"/>
    <mergeCell ref="M45:M47"/>
    <mergeCell ref="M48:M50"/>
    <mergeCell ref="M51:M53"/>
    <mergeCell ref="M54:M56"/>
    <mergeCell ref="M57:M59"/>
    <mergeCell ref="M60:M62"/>
    <mergeCell ref="M63:M65"/>
    <mergeCell ref="A66:B66"/>
  </mergeCells>
  <phoneticPr fontId="2" type="noConversion"/>
  <printOptions horizontalCentered="1"/>
  <pageMargins left="0.31496062992125984" right="0.31496062992125984" top="0.74803149606299213" bottom="0.39370078740157483" header="0.31496062992125984" footer="0.31496062992125984"/>
  <pageSetup paperSize="9" scale="5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1D59D-8BC1-458B-AAF5-D9519872A7E4}">
  <sheetPr>
    <pageSetUpPr fitToPage="1"/>
  </sheetPr>
  <dimension ref="A1:T77"/>
  <sheetViews>
    <sheetView showGridLines="0" topLeftCell="A8" workbookViewId="0">
      <selection activeCell="F72" sqref="F72"/>
    </sheetView>
  </sheetViews>
  <sheetFormatPr defaultColWidth="9" defaultRowHeight="16.5" x14ac:dyDescent="0.3"/>
  <cols>
    <col min="1" max="1" width="10.5" style="5" customWidth="1"/>
    <col min="2" max="2" width="12.125" style="5" customWidth="1"/>
    <col min="3" max="6" width="6.375" style="5" customWidth="1"/>
    <col min="7" max="12" width="11.625" style="5" customWidth="1"/>
    <col min="13" max="13" width="16.25" style="100" customWidth="1"/>
    <col min="14" max="14" width="5.625" style="5" customWidth="1"/>
    <col min="15" max="15" width="15.625" style="5" hidden="1" customWidth="1"/>
    <col min="16" max="17" width="11.75" style="5" hidden="1" customWidth="1"/>
    <col min="18" max="23" width="8.75" style="5" customWidth="1"/>
    <col min="24" max="16384" width="9" style="5"/>
  </cols>
  <sheetData>
    <row r="1" spans="1:19" s="1" customFormat="1" ht="39" customHeight="1" x14ac:dyDescent="0.3">
      <c r="A1" s="471" t="s">
        <v>174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</row>
    <row r="2" spans="1:19" ht="22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>
        <v>46022</v>
      </c>
    </row>
    <row r="3" spans="1:19" ht="24" customHeight="1" x14ac:dyDescent="0.3">
      <c r="A3" s="418" t="s">
        <v>0</v>
      </c>
      <c r="B3" s="419"/>
      <c r="C3" s="2"/>
      <c r="D3" s="2"/>
      <c r="E3" s="2"/>
      <c r="F3" s="2"/>
      <c r="G3" s="6"/>
      <c r="H3" s="6"/>
      <c r="I3" s="6"/>
      <c r="J3" s="6"/>
      <c r="K3" s="6"/>
      <c r="L3" s="6"/>
      <c r="M3" s="7"/>
    </row>
    <row r="4" spans="1:19" ht="35.25" customHeight="1" thickBot="1" x14ac:dyDescent="0.35">
      <c r="A4" s="420" t="s">
        <v>1</v>
      </c>
      <c r="B4" s="421"/>
      <c r="C4" s="422" t="s">
        <v>167</v>
      </c>
      <c r="D4" s="423"/>
      <c r="E4" s="424"/>
      <c r="F4" s="420"/>
      <c r="G4" s="422" t="s">
        <v>3</v>
      </c>
      <c r="H4" s="420"/>
      <c r="I4" s="422" t="s">
        <v>140</v>
      </c>
      <c r="J4" s="420"/>
      <c r="K4" s="426" t="s">
        <v>5</v>
      </c>
      <c r="L4" s="424"/>
      <c r="M4" s="424"/>
    </row>
    <row r="5" spans="1:19" ht="24" customHeight="1" x14ac:dyDescent="0.3">
      <c r="A5" s="427" t="s">
        <v>8</v>
      </c>
      <c r="B5" s="428"/>
      <c r="C5" s="429">
        <f>F14+F17</f>
        <v>32</v>
      </c>
      <c r="D5" s="430"/>
      <c r="E5" s="430"/>
      <c r="F5" s="431"/>
      <c r="G5" s="429"/>
      <c r="H5" s="431"/>
      <c r="I5" s="429"/>
      <c r="J5" s="431"/>
      <c r="K5" s="483" t="s">
        <v>175</v>
      </c>
      <c r="L5" s="484"/>
      <c r="M5" s="484"/>
    </row>
    <row r="6" spans="1:19" ht="24" customHeight="1" x14ac:dyDescent="0.3">
      <c r="A6" s="440" t="s">
        <v>9</v>
      </c>
      <c r="B6" s="441"/>
      <c r="C6" s="442">
        <f>F20+F23+F26+F29+F33+F36+F39+F42+F45+F48+F51+F54+F57+F60</f>
        <v>168</v>
      </c>
      <c r="D6" s="443"/>
      <c r="E6" s="443"/>
      <c r="F6" s="444"/>
      <c r="G6" s="442">
        <f>F32+SUM(F33:F47)-1</f>
        <v>150</v>
      </c>
      <c r="H6" s="444"/>
      <c r="I6" s="442"/>
      <c r="J6" s="444"/>
      <c r="K6" s="485"/>
      <c r="L6" s="486"/>
      <c r="M6" s="486"/>
    </row>
    <row r="7" spans="1:19" ht="24" customHeight="1" thickBot="1" x14ac:dyDescent="0.35">
      <c r="A7" s="445" t="s">
        <v>73</v>
      </c>
      <c r="B7" s="446"/>
      <c r="C7" s="392"/>
      <c r="D7" s="447"/>
      <c r="E7" s="447"/>
      <c r="F7" s="393"/>
      <c r="G7" s="392"/>
      <c r="H7" s="393"/>
      <c r="I7" s="392">
        <f>SUM(F48:F71)-1</f>
        <v>99</v>
      </c>
      <c r="J7" s="393"/>
      <c r="K7" s="487"/>
      <c r="L7" s="488"/>
      <c r="M7" s="488"/>
    </row>
    <row r="8" spans="1:19" ht="24" customHeight="1" x14ac:dyDescent="0.3">
      <c r="A8" s="407" t="s">
        <v>10</v>
      </c>
      <c r="B8" s="408"/>
      <c r="C8" s="409">
        <f>SUM(C5:F7)</f>
        <v>200</v>
      </c>
      <c r="D8" s="410"/>
      <c r="E8" s="410"/>
      <c r="F8" s="411"/>
      <c r="G8" s="409">
        <f>G6</f>
        <v>150</v>
      </c>
      <c r="H8" s="411"/>
      <c r="I8" s="409">
        <f>I7</f>
        <v>99</v>
      </c>
      <c r="J8" s="411"/>
      <c r="K8" s="412"/>
      <c r="L8" s="414"/>
      <c r="M8" s="414"/>
    </row>
    <row r="9" spans="1:19" ht="12" customHeight="1" x14ac:dyDescent="0.3">
      <c r="A9" s="8"/>
      <c r="B9" s="8"/>
      <c r="C9" s="8"/>
      <c r="D9" s="8"/>
      <c r="E9" s="8"/>
      <c r="F9" s="8"/>
      <c r="G9" s="125"/>
      <c r="H9" s="8"/>
      <c r="I9" s="8"/>
      <c r="J9" s="8"/>
      <c r="K9" s="8"/>
      <c r="L9" s="8"/>
      <c r="M9" s="8"/>
      <c r="R9" s="39"/>
    </row>
    <row r="10" spans="1:19" ht="29.25" customHeight="1" thickBot="1" x14ac:dyDescent="0.35">
      <c r="A10" s="415" t="s">
        <v>11</v>
      </c>
      <c r="B10" s="416"/>
      <c r="C10" s="8"/>
      <c r="D10" s="8"/>
      <c r="E10" s="8"/>
      <c r="F10" s="8"/>
      <c r="G10" s="472"/>
      <c r="H10" s="472"/>
      <c r="I10" s="472"/>
      <c r="J10" s="472"/>
      <c r="K10" s="472"/>
      <c r="L10" s="472"/>
      <c r="M10" s="472"/>
    </row>
    <row r="11" spans="1:19" ht="36" customHeight="1" x14ac:dyDescent="0.3">
      <c r="A11" s="394" t="s">
        <v>12</v>
      </c>
      <c r="B11" s="397" t="s">
        <v>13</v>
      </c>
      <c r="C11" s="399" t="s">
        <v>14</v>
      </c>
      <c r="D11" s="399"/>
      <c r="E11" s="400"/>
      <c r="F11" s="401" t="s">
        <v>15</v>
      </c>
      <c r="G11" s="404" t="s">
        <v>18</v>
      </c>
      <c r="H11" s="405"/>
      <c r="I11" s="405"/>
      <c r="J11" s="405"/>
      <c r="K11" s="405"/>
      <c r="L11" s="406"/>
      <c r="M11" s="460" t="s">
        <v>19</v>
      </c>
    </row>
    <row r="12" spans="1:19" ht="22.5" customHeight="1" x14ac:dyDescent="0.3">
      <c r="A12" s="395"/>
      <c r="B12" s="398"/>
      <c r="C12" s="463" t="s">
        <v>96</v>
      </c>
      <c r="D12" s="464"/>
      <c r="E12" s="113" t="s">
        <v>97</v>
      </c>
      <c r="F12" s="402"/>
      <c r="G12" s="465" t="s">
        <v>166</v>
      </c>
      <c r="H12" s="382"/>
      <c r="I12" s="382"/>
      <c r="J12" s="382"/>
      <c r="K12" s="382"/>
      <c r="L12" s="383"/>
      <c r="M12" s="461"/>
    </row>
    <row r="13" spans="1:19" ht="35.25" customHeight="1" thickBot="1" x14ac:dyDescent="0.35">
      <c r="A13" s="396"/>
      <c r="B13" s="385"/>
      <c r="C13" s="107" t="s">
        <v>98</v>
      </c>
      <c r="D13" s="104" t="s">
        <v>99</v>
      </c>
      <c r="E13" s="104" t="s">
        <v>98</v>
      </c>
      <c r="F13" s="403"/>
      <c r="G13" s="9" t="s">
        <v>23</v>
      </c>
      <c r="H13" s="10" t="s">
        <v>24</v>
      </c>
      <c r="I13" s="10" t="s">
        <v>25</v>
      </c>
      <c r="J13" s="10" t="s">
        <v>111</v>
      </c>
      <c r="K13" s="11" t="s">
        <v>26</v>
      </c>
      <c r="L13" s="12" t="s">
        <v>27</v>
      </c>
      <c r="M13" s="462"/>
    </row>
    <row r="14" spans="1:19" ht="16.5" customHeight="1" x14ac:dyDescent="0.3">
      <c r="A14" s="351" t="s">
        <v>44</v>
      </c>
      <c r="B14" s="13" t="s">
        <v>58</v>
      </c>
      <c r="C14" s="108">
        <v>13</v>
      </c>
      <c r="D14" s="15">
        <v>3</v>
      </c>
      <c r="E14" s="14"/>
      <c r="F14" s="138">
        <f>C14+D14+E14</f>
        <v>16</v>
      </c>
      <c r="G14" s="117">
        <v>45600</v>
      </c>
      <c r="H14" s="19">
        <v>45601</v>
      </c>
      <c r="I14" s="37">
        <v>45608</v>
      </c>
      <c r="J14" s="37"/>
      <c r="K14" s="37">
        <v>45643</v>
      </c>
      <c r="L14" s="21">
        <f>(K15-G14+1)/7</f>
        <v>11.714285714285714</v>
      </c>
      <c r="M14" s="473" t="s">
        <v>120</v>
      </c>
    </row>
    <row r="15" spans="1:19" ht="16.5" customHeight="1" x14ac:dyDescent="0.3">
      <c r="A15" s="352"/>
      <c r="B15" s="13"/>
      <c r="C15" s="108"/>
      <c r="D15" s="15"/>
      <c r="E15" s="14"/>
      <c r="F15" s="138"/>
      <c r="G15" s="101"/>
      <c r="H15" s="19">
        <v>45603</v>
      </c>
      <c r="I15" s="19">
        <v>45643</v>
      </c>
      <c r="J15" s="19"/>
      <c r="K15" s="120">
        <v>45681</v>
      </c>
      <c r="L15" s="24"/>
      <c r="M15" s="474"/>
      <c r="S15" s="26"/>
    </row>
    <row r="16" spans="1:19" ht="16.5" customHeight="1" x14ac:dyDescent="0.3">
      <c r="A16" s="352"/>
      <c r="B16" s="27"/>
      <c r="C16" s="109"/>
      <c r="D16" s="29"/>
      <c r="E16" s="28"/>
      <c r="F16" s="139"/>
      <c r="G16" s="102"/>
      <c r="H16" s="33">
        <f t="shared" ref="H16" si="0">(H15-H14+1)/7</f>
        <v>0.42857142857142855</v>
      </c>
      <c r="I16" s="33">
        <f>(I15-I14+1)/7</f>
        <v>5.1428571428571432</v>
      </c>
      <c r="J16" s="33"/>
      <c r="K16" s="33">
        <f>(K15-K14+1)/7</f>
        <v>5.5714285714285712</v>
      </c>
      <c r="L16" s="35"/>
      <c r="M16" s="475"/>
    </row>
    <row r="17" spans="1:19" ht="16.5" customHeight="1" x14ac:dyDescent="0.3">
      <c r="A17" s="352"/>
      <c r="B17" s="41" t="s">
        <v>60</v>
      </c>
      <c r="C17" s="110">
        <v>7</v>
      </c>
      <c r="D17" s="43">
        <v>9</v>
      </c>
      <c r="E17" s="42"/>
      <c r="F17" s="138">
        <f t="shared" ref="F17" si="1">C17+D17+E17</f>
        <v>16</v>
      </c>
      <c r="G17" s="117">
        <v>45635</v>
      </c>
      <c r="H17" s="19">
        <v>45636</v>
      </c>
      <c r="I17" s="37">
        <v>45642</v>
      </c>
      <c r="J17" s="37"/>
      <c r="K17" s="37">
        <v>45691</v>
      </c>
      <c r="L17" s="21">
        <f>(K18-G17+1)/7</f>
        <v>13.285714285714286</v>
      </c>
      <c r="M17" s="476" t="s">
        <v>115</v>
      </c>
      <c r="O17" s="26"/>
      <c r="R17" s="39"/>
      <c r="S17" s="39"/>
    </row>
    <row r="18" spans="1:19" ht="16.5" customHeight="1" x14ac:dyDescent="0.3">
      <c r="A18" s="352"/>
      <c r="B18" s="13"/>
      <c r="C18" s="108"/>
      <c r="D18" s="15"/>
      <c r="E18" s="14"/>
      <c r="F18" s="138"/>
      <c r="G18" s="118"/>
      <c r="H18" s="19">
        <v>45638</v>
      </c>
      <c r="I18" s="19">
        <v>45681</v>
      </c>
      <c r="J18" s="19"/>
      <c r="K18" s="120">
        <v>45727</v>
      </c>
      <c r="L18" s="24"/>
      <c r="M18" s="474"/>
      <c r="R18" s="39"/>
    </row>
    <row r="19" spans="1:19" ht="16.5" customHeight="1" x14ac:dyDescent="0.3">
      <c r="A19" s="352"/>
      <c r="B19" s="27"/>
      <c r="C19" s="109"/>
      <c r="D19" s="29"/>
      <c r="E19" s="28"/>
      <c r="F19" s="139"/>
      <c r="G19" s="119"/>
      <c r="H19" s="33">
        <f>(H18-H17+1)/7</f>
        <v>0.42857142857142855</v>
      </c>
      <c r="I19" s="33">
        <f>(I18-I17+1)/7</f>
        <v>5.7142857142857144</v>
      </c>
      <c r="J19" s="33"/>
      <c r="K19" s="33">
        <f>(K18-K17+1)/7</f>
        <v>5.2857142857142856</v>
      </c>
      <c r="L19" s="35"/>
      <c r="M19" s="475"/>
    </row>
    <row r="20" spans="1:19" ht="16.5" customHeight="1" x14ac:dyDescent="0.3">
      <c r="A20" s="352"/>
      <c r="B20" s="13" t="s">
        <v>62</v>
      </c>
      <c r="C20" s="108"/>
      <c r="D20" s="15">
        <v>12</v>
      </c>
      <c r="E20" s="14"/>
      <c r="F20" s="138">
        <f t="shared" ref="F20" si="2">C20+D20+E20</f>
        <v>12</v>
      </c>
      <c r="G20" s="106">
        <v>45677</v>
      </c>
      <c r="H20" s="19">
        <v>45678</v>
      </c>
      <c r="I20" s="19">
        <v>45691</v>
      </c>
      <c r="J20" s="19"/>
      <c r="K20" s="19">
        <v>45728</v>
      </c>
      <c r="L20" s="24">
        <f>(K21-G20+1)/7</f>
        <v>10.142857142857142</v>
      </c>
      <c r="M20" s="477" t="s">
        <v>116</v>
      </c>
      <c r="O20" s="26"/>
      <c r="R20" s="39"/>
    </row>
    <row r="21" spans="1:19" ht="16.5" customHeight="1" x14ac:dyDescent="0.3">
      <c r="A21" s="352"/>
      <c r="B21" s="13"/>
      <c r="C21" s="108"/>
      <c r="D21" s="15"/>
      <c r="E21" s="14"/>
      <c r="F21" s="138"/>
      <c r="G21" s="118"/>
      <c r="H21" s="19">
        <v>45680</v>
      </c>
      <c r="I21" s="19">
        <v>45720</v>
      </c>
      <c r="J21" s="19"/>
      <c r="K21" s="120">
        <v>45747</v>
      </c>
      <c r="L21" s="24"/>
      <c r="M21" s="474"/>
    </row>
    <row r="22" spans="1:19" ht="16.5" customHeight="1" x14ac:dyDescent="0.3">
      <c r="A22" s="352"/>
      <c r="B22" s="27"/>
      <c r="C22" s="109"/>
      <c r="D22" s="29"/>
      <c r="E22" s="28"/>
      <c r="F22" s="139"/>
      <c r="G22" s="119"/>
      <c r="H22" s="33">
        <f>(H21-H20+1)/7</f>
        <v>0.42857142857142855</v>
      </c>
      <c r="I22" s="33">
        <f>(I21-I20+1)/7</f>
        <v>4.2857142857142856</v>
      </c>
      <c r="J22" s="33"/>
      <c r="K22" s="33">
        <f>(K21-K20+1)/7</f>
        <v>2.8571428571428572</v>
      </c>
      <c r="L22" s="35"/>
      <c r="M22" s="475"/>
    </row>
    <row r="23" spans="1:19" ht="16.5" customHeight="1" x14ac:dyDescent="0.3">
      <c r="A23" s="352"/>
      <c r="B23" s="41" t="s">
        <v>64</v>
      </c>
      <c r="C23" s="110"/>
      <c r="D23" s="43">
        <v>9</v>
      </c>
      <c r="E23" s="42"/>
      <c r="F23" s="138">
        <f t="shared" ref="F23" si="3">C23+D23+E23</f>
        <v>9</v>
      </c>
      <c r="G23" s="117">
        <v>45712</v>
      </c>
      <c r="H23" s="37">
        <v>45713</v>
      </c>
      <c r="I23" s="37">
        <v>45721</v>
      </c>
      <c r="J23" s="37"/>
      <c r="K23" s="37">
        <v>45749</v>
      </c>
      <c r="L23" s="21">
        <f>(K24-G23+1)/7</f>
        <v>9.2857142857142865</v>
      </c>
      <c r="M23" s="473" t="s">
        <v>117</v>
      </c>
      <c r="O23" s="26"/>
    </row>
    <row r="24" spans="1:19" ht="16.5" customHeight="1" x14ac:dyDescent="0.3">
      <c r="A24" s="352"/>
      <c r="B24" s="13"/>
      <c r="C24" s="108"/>
      <c r="D24" s="15"/>
      <c r="E24" s="14"/>
      <c r="F24" s="138"/>
      <c r="G24" s="118"/>
      <c r="H24" s="19">
        <v>45715</v>
      </c>
      <c r="I24" s="19">
        <v>45754</v>
      </c>
      <c r="J24" s="19"/>
      <c r="K24" s="120">
        <v>45776</v>
      </c>
      <c r="L24" s="24"/>
      <c r="M24" s="474"/>
    </row>
    <row r="25" spans="1:19" ht="16.5" customHeight="1" x14ac:dyDescent="0.3">
      <c r="A25" s="352"/>
      <c r="B25" s="27"/>
      <c r="C25" s="109"/>
      <c r="D25" s="29"/>
      <c r="E25" s="28"/>
      <c r="F25" s="139"/>
      <c r="G25" s="119"/>
      <c r="H25" s="33">
        <f>(H24-H23+1)/7</f>
        <v>0.42857142857142855</v>
      </c>
      <c r="I25" s="33">
        <f>(I24-I23+1)/7</f>
        <v>4.8571428571428568</v>
      </c>
      <c r="J25" s="33"/>
      <c r="K25" s="33">
        <f>(K24-K23+1)/7</f>
        <v>4</v>
      </c>
      <c r="L25" s="35"/>
      <c r="M25" s="475"/>
    </row>
    <row r="26" spans="1:19" ht="16.5" customHeight="1" x14ac:dyDescent="0.3">
      <c r="A26" s="352"/>
      <c r="B26" s="41" t="s">
        <v>66</v>
      </c>
      <c r="C26" s="110">
        <v>4</v>
      </c>
      <c r="D26" s="43"/>
      <c r="E26" s="42"/>
      <c r="F26" s="138">
        <f t="shared" ref="F26" si="4">C26+D26+E26</f>
        <v>4</v>
      </c>
      <c r="G26" s="117">
        <v>45726</v>
      </c>
      <c r="H26" s="37">
        <v>45727</v>
      </c>
      <c r="I26" s="37">
        <v>45733</v>
      </c>
      <c r="J26" s="37">
        <v>45768</v>
      </c>
      <c r="K26" s="37">
        <v>45784</v>
      </c>
      <c r="L26" s="21">
        <f>(K27-G26+1)/7</f>
        <v>11.142857142857142</v>
      </c>
      <c r="M26" s="473" t="s">
        <v>118</v>
      </c>
    </row>
    <row r="27" spans="1:19" ht="16.5" customHeight="1" x14ac:dyDescent="0.3">
      <c r="A27" s="352"/>
      <c r="B27" s="13"/>
      <c r="C27" s="108"/>
      <c r="D27" s="15"/>
      <c r="E27" s="14"/>
      <c r="F27" s="138"/>
      <c r="G27" s="101"/>
      <c r="H27" s="19">
        <v>45729</v>
      </c>
      <c r="I27" s="19">
        <v>45763</v>
      </c>
      <c r="J27" s="19">
        <v>45781</v>
      </c>
      <c r="K27" s="120">
        <v>45803</v>
      </c>
      <c r="L27" s="24"/>
      <c r="M27" s="474"/>
    </row>
    <row r="28" spans="1:19" ht="16.5" customHeight="1" x14ac:dyDescent="0.3">
      <c r="A28" s="352"/>
      <c r="B28" s="27"/>
      <c r="C28" s="109"/>
      <c r="D28" s="29"/>
      <c r="E28" s="28"/>
      <c r="F28" s="139"/>
      <c r="G28" s="102"/>
      <c r="H28" s="33">
        <f>(H27-H26+1)/7</f>
        <v>0.42857142857142855</v>
      </c>
      <c r="I28" s="33">
        <f>(I27-I26+1)/7</f>
        <v>4.4285714285714288</v>
      </c>
      <c r="J28" s="33">
        <f t="shared" ref="J28" si="5">(J27-J26+1)/7</f>
        <v>2</v>
      </c>
      <c r="K28" s="33">
        <f>(K27-K26+1)/7</f>
        <v>2.8571428571428572</v>
      </c>
      <c r="L28" s="35"/>
      <c r="M28" s="475"/>
    </row>
    <row r="29" spans="1:19" ht="16.5" customHeight="1" x14ac:dyDescent="0.3">
      <c r="A29" s="352"/>
      <c r="B29" s="41" t="s">
        <v>67</v>
      </c>
      <c r="C29" s="110"/>
      <c r="D29" s="43">
        <v>16</v>
      </c>
      <c r="E29" s="42"/>
      <c r="F29" s="138">
        <f t="shared" ref="F29" si="6">C29+D29+E29</f>
        <v>16</v>
      </c>
      <c r="G29" s="117">
        <v>45747</v>
      </c>
      <c r="H29" s="37">
        <v>45748</v>
      </c>
      <c r="I29" s="37">
        <v>45756</v>
      </c>
      <c r="J29" s="37"/>
      <c r="K29" s="37">
        <v>45803</v>
      </c>
      <c r="L29" s="21">
        <f>(K30-G29+1)/7</f>
        <v>12.428571428571429</v>
      </c>
      <c r="M29" s="473" t="s">
        <v>119</v>
      </c>
      <c r="O29" s="26"/>
    </row>
    <row r="30" spans="1:19" ht="16.5" customHeight="1" x14ac:dyDescent="0.3">
      <c r="A30" s="352"/>
      <c r="B30" s="13"/>
      <c r="C30" s="108"/>
      <c r="D30" s="15"/>
      <c r="E30" s="14"/>
      <c r="F30" s="138"/>
      <c r="G30" s="101"/>
      <c r="H30" s="19">
        <v>45750</v>
      </c>
      <c r="I30" s="19">
        <v>45804</v>
      </c>
      <c r="J30" s="84"/>
      <c r="K30" s="120">
        <v>45833</v>
      </c>
      <c r="L30" s="24"/>
      <c r="M30" s="474"/>
    </row>
    <row r="31" spans="1:19" ht="16.5" customHeight="1" thickBot="1" x14ac:dyDescent="0.35">
      <c r="A31" s="353"/>
      <c r="B31" s="47"/>
      <c r="C31" s="111"/>
      <c r="D31" s="49"/>
      <c r="E31" s="48"/>
      <c r="F31" s="105"/>
      <c r="G31" s="103"/>
      <c r="H31" s="53">
        <f>(H30-H29+1)/7</f>
        <v>0.42857142857142855</v>
      </c>
      <c r="I31" s="53">
        <f>(I30-I29+1)/7</f>
        <v>7</v>
      </c>
      <c r="J31" s="97"/>
      <c r="K31" s="53">
        <f>(K30-K29+1)/7</f>
        <v>4.4285714285714288</v>
      </c>
      <c r="L31" s="55"/>
      <c r="M31" s="478"/>
      <c r="Q31" s="39"/>
    </row>
    <row r="32" spans="1:19" ht="24" customHeight="1" thickBot="1" x14ac:dyDescent="0.35">
      <c r="A32" s="343" t="s">
        <v>10</v>
      </c>
      <c r="B32" s="344"/>
      <c r="C32" s="112">
        <f>SUM(C14:C31)</f>
        <v>24</v>
      </c>
      <c r="D32" s="58">
        <f>SUM(D14:D31)</f>
        <v>49</v>
      </c>
      <c r="E32" s="57">
        <f>SUM(E14:E31)</f>
        <v>0</v>
      </c>
      <c r="F32" s="140">
        <f>SUM(C32:E32)</f>
        <v>73</v>
      </c>
      <c r="G32" s="480" t="s">
        <v>42</v>
      </c>
      <c r="H32" s="481"/>
      <c r="I32" s="481"/>
      <c r="J32" s="481"/>
      <c r="K32" s="482"/>
      <c r="L32" s="61">
        <f>AVERAGE(L14:L31)</f>
        <v>11.333333333333334</v>
      </c>
      <c r="M32" s="62" t="s">
        <v>41</v>
      </c>
      <c r="O32" s="350" t="s">
        <v>43</v>
      </c>
      <c r="P32" s="350"/>
    </row>
    <row r="33" spans="1:20" ht="15" customHeight="1" x14ac:dyDescent="0.3">
      <c r="A33" s="351" t="s">
        <v>74</v>
      </c>
      <c r="B33" s="63" t="s">
        <v>75</v>
      </c>
      <c r="C33" s="191">
        <v>14</v>
      </c>
      <c r="D33" s="65"/>
      <c r="E33" s="64"/>
      <c r="F33" s="138">
        <f>C33+D33+E33</f>
        <v>14</v>
      </c>
      <c r="G33" s="192">
        <v>45796</v>
      </c>
      <c r="H33" s="68">
        <v>45797</v>
      </c>
      <c r="I33" s="68">
        <v>45803</v>
      </c>
      <c r="J33" s="68"/>
      <c r="K33" s="68">
        <v>45845</v>
      </c>
      <c r="L33" s="70">
        <f>(K34-G33+1)/7</f>
        <v>10.285714285714286</v>
      </c>
      <c r="M33" s="479" t="s">
        <v>122</v>
      </c>
      <c r="N33" s="71"/>
      <c r="O33" s="5" t="s">
        <v>47</v>
      </c>
      <c r="P33" s="72" t="e">
        <f>AVERAGE(H35,H38,H41,H44,H47,H71,#REF!,#REF!,#REF!,#REF!)</f>
        <v>#REF!</v>
      </c>
      <c r="Q33" s="5">
        <v>1</v>
      </c>
      <c r="R33" s="39"/>
    </row>
    <row r="34" spans="1:20" ht="15" customHeight="1" x14ac:dyDescent="0.3">
      <c r="A34" s="352"/>
      <c r="B34" s="13"/>
      <c r="C34" s="108"/>
      <c r="D34" s="15"/>
      <c r="E34" s="14"/>
      <c r="F34" s="138"/>
      <c r="G34" s="118"/>
      <c r="H34" s="19">
        <v>45799</v>
      </c>
      <c r="I34" s="19">
        <v>45842</v>
      </c>
      <c r="J34" s="19"/>
      <c r="K34" s="120">
        <v>45867</v>
      </c>
      <c r="L34" s="24"/>
      <c r="M34" s="474"/>
      <c r="N34" s="71"/>
      <c r="O34" s="5" t="s">
        <v>48</v>
      </c>
      <c r="P34" s="72" t="e">
        <f>AVERAGE(I35,I38,I41,I44,I47,I71,#REF!,#REF!,#REF!,#REF!)</f>
        <v>#REF!</v>
      </c>
      <c r="Q34" s="5">
        <v>6</v>
      </c>
    </row>
    <row r="35" spans="1:20" ht="15" customHeight="1" x14ac:dyDescent="0.3">
      <c r="A35" s="352"/>
      <c r="B35" s="27"/>
      <c r="C35" s="109"/>
      <c r="D35" s="29"/>
      <c r="E35" s="28"/>
      <c r="F35" s="139"/>
      <c r="G35" s="119"/>
      <c r="H35" s="33">
        <f>(H34-H33+1)/7</f>
        <v>0.42857142857142855</v>
      </c>
      <c r="I35" s="33">
        <f>(I34-I33+1)/7</f>
        <v>5.7142857142857144</v>
      </c>
      <c r="J35" s="33"/>
      <c r="K35" s="33">
        <f>(K34-K33+1)/7</f>
        <v>3.2857142857142856</v>
      </c>
      <c r="L35" s="35"/>
      <c r="M35" s="475"/>
      <c r="N35" s="71"/>
      <c r="O35" s="5" t="s">
        <v>49</v>
      </c>
      <c r="P35" s="72" t="e">
        <f>AVERAGE(K35,K38,K41,K44,K47,K71,#REF!,#REF!,#REF!,#REF!)</f>
        <v>#REF!</v>
      </c>
      <c r="Q35" s="5">
        <v>5</v>
      </c>
      <c r="R35" s="39"/>
    </row>
    <row r="36" spans="1:20" ht="15" customHeight="1" x14ac:dyDescent="0.3">
      <c r="A36" s="352"/>
      <c r="B36" s="13" t="s">
        <v>77</v>
      </c>
      <c r="C36" s="108">
        <v>16</v>
      </c>
      <c r="D36" s="15"/>
      <c r="E36" s="14"/>
      <c r="F36" s="138">
        <f t="shared" ref="F36" si="7">C36+D36+E36</f>
        <v>16</v>
      </c>
      <c r="G36" s="106">
        <v>45831</v>
      </c>
      <c r="H36" s="19">
        <v>45832</v>
      </c>
      <c r="I36" s="37">
        <v>45838</v>
      </c>
      <c r="J36" s="37"/>
      <c r="K36" s="37">
        <v>45868</v>
      </c>
      <c r="L36" s="24">
        <f>(K37-G36+1)/7</f>
        <v>10.571428571428571</v>
      </c>
      <c r="M36" s="476" t="s">
        <v>123</v>
      </c>
      <c r="P36" s="76"/>
      <c r="Q36" s="39"/>
    </row>
    <row r="37" spans="1:20" ht="15" customHeight="1" x14ac:dyDescent="0.3">
      <c r="A37" s="352"/>
      <c r="B37" s="13"/>
      <c r="C37" s="108"/>
      <c r="D37" s="15"/>
      <c r="E37" s="14"/>
      <c r="F37" s="138"/>
      <c r="G37" s="118"/>
      <c r="H37" s="19">
        <v>45834</v>
      </c>
      <c r="I37" s="19">
        <v>45869</v>
      </c>
      <c r="J37" s="19"/>
      <c r="K37" s="120">
        <v>45904</v>
      </c>
      <c r="L37" s="24"/>
      <c r="M37" s="474"/>
    </row>
    <row r="38" spans="1:20" ht="15" customHeight="1" x14ac:dyDescent="0.3">
      <c r="A38" s="352"/>
      <c r="B38" s="27"/>
      <c r="C38" s="109"/>
      <c r="D38" s="29"/>
      <c r="E38" s="28"/>
      <c r="F38" s="139"/>
      <c r="G38" s="119"/>
      <c r="H38" s="33">
        <f t="shared" ref="H38:K38" si="8">(H37-H36+1)/7</f>
        <v>0.42857142857142855</v>
      </c>
      <c r="I38" s="33">
        <f t="shared" si="8"/>
        <v>4.5714285714285712</v>
      </c>
      <c r="J38" s="193"/>
      <c r="K38" s="33">
        <f t="shared" si="8"/>
        <v>5.2857142857142856</v>
      </c>
      <c r="L38" s="35"/>
      <c r="M38" s="475"/>
      <c r="P38" s="39"/>
      <c r="R38" s="39"/>
    </row>
    <row r="39" spans="1:20" ht="15" customHeight="1" x14ac:dyDescent="0.3">
      <c r="A39" s="352"/>
      <c r="B39" s="13" t="s">
        <v>79</v>
      </c>
      <c r="C39" s="108">
        <v>16</v>
      </c>
      <c r="D39" s="15"/>
      <c r="E39" s="14"/>
      <c r="F39" s="138">
        <f t="shared" ref="F39" si="9">C39+D39+E39</f>
        <v>16</v>
      </c>
      <c r="G39" s="117">
        <v>45866</v>
      </c>
      <c r="H39" s="19">
        <v>45867</v>
      </c>
      <c r="I39" s="37">
        <v>45873</v>
      </c>
      <c r="J39" s="37"/>
      <c r="K39" s="37">
        <v>45908</v>
      </c>
      <c r="L39" s="21">
        <f>(K40-G39+1)/7</f>
        <v>12.285714285714286</v>
      </c>
      <c r="M39" s="476" t="s">
        <v>124</v>
      </c>
      <c r="O39" s="39"/>
      <c r="T39" s="39"/>
    </row>
    <row r="40" spans="1:20" ht="15" customHeight="1" x14ac:dyDescent="0.3">
      <c r="A40" s="352"/>
      <c r="B40" s="13"/>
      <c r="C40" s="108"/>
      <c r="D40" s="15"/>
      <c r="E40" s="14"/>
      <c r="F40" s="138"/>
      <c r="G40" s="118"/>
      <c r="H40" s="19">
        <v>45870</v>
      </c>
      <c r="I40" s="19">
        <v>45903</v>
      </c>
      <c r="J40" s="19"/>
      <c r="K40" s="120">
        <v>45951</v>
      </c>
      <c r="L40" s="24"/>
      <c r="M40" s="474"/>
      <c r="O40" s="77"/>
      <c r="Q40" s="77"/>
      <c r="R40" s="77"/>
    </row>
    <row r="41" spans="1:20" ht="15" customHeight="1" x14ac:dyDescent="0.3">
      <c r="A41" s="352"/>
      <c r="B41" s="27"/>
      <c r="C41" s="109"/>
      <c r="D41" s="29"/>
      <c r="E41" s="28"/>
      <c r="F41" s="139"/>
      <c r="G41" s="119"/>
      <c r="H41" s="33">
        <f t="shared" ref="H41:K41" si="10">(H40-H39+1)/7</f>
        <v>0.5714285714285714</v>
      </c>
      <c r="I41" s="33">
        <f t="shared" si="10"/>
        <v>4.4285714285714288</v>
      </c>
      <c r="J41" s="193"/>
      <c r="K41" s="33">
        <f t="shared" si="10"/>
        <v>6.2857142857142856</v>
      </c>
      <c r="L41" s="35"/>
      <c r="M41" s="475"/>
      <c r="O41" s="77">
        <v>11.1</v>
      </c>
      <c r="P41" s="77">
        <v>15.1</v>
      </c>
      <c r="Q41" s="77">
        <f t="shared" ref="Q41:Q44" si="11">O41-P41</f>
        <v>-4</v>
      </c>
      <c r="R41" s="77"/>
    </row>
    <row r="42" spans="1:20" ht="15" customHeight="1" x14ac:dyDescent="0.3">
      <c r="A42" s="352"/>
      <c r="B42" s="13" t="s">
        <v>81</v>
      </c>
      <c r="C42" s="108">
        <v>16</v>
      </c>
      <c r="D42" s="15"/>
      <c r="E42" s="14"/>
      <c r="F42" s="138">
        <f t="shared" ref="F42" si="12">C42+D42+E42</f>
        <v>16</v>
      </c>
      <c r="G42" s="117">
        <v>45894</v>
      </c>
      <c r="H42" s="19">
        <v>45895</v>
      </c>
      <c r="I42" s="37">
        <v>45902</v>
      </c>
      <c r="J42" s="37">
        <v>45931</v>
      </c>
      <c r="K42" s="37">
        <v>45951</v>
      </c>
      <c r="L42" s="21">
        <f>(K43-G42+1)/7</f>
        <v>11.714285714285714</v>
      </c>
      <c r="M42" s="476" t="s">
        <v>165</v>
      </c>
      <c r="O42" s="77">
        <v>10.7</v>
      </c>
      <c r="P42" s="77">
        <v>15.1</v>
      </c>
      <c r="Q42" s="77">
        <f t="shared" si="11"/>
        <v>-4.4000000000000004</v>
      </c>
      <c r="R42" s="77"/>
    </row>
    <row r="43" spans="1:20" ht="15" customHeight="1" x14ac:dyDescent="0.3">
      <c r="A43" s="352"/>
      <c r="B43" s="13"/>
      <c r="C43" s="108"/>
      <c r="D43" s="15"/>
      <c r="E43" s="14"/>
      <c r="F43" s="138"/>
      <c r="G43" s="118"/>
      <c r="H43" s="19">
        <v>45898</v>
      </c>
      <c r="I43" s="19">
        <v>45930</v>
      </c>
      <c r="J43" s="19">
        <v>45950</v>
      </c>
      <c r="K43" s="120">
        <v>45975</v>
      </c>
      <c r="L43" s="24"/>
      <c r="M43" s="474"/>
      <c r="O43" s="77">
        <v>10.3</v>
      </c>
      <c r="P43" s="77">
        <v>14.7</v>
      </c>
      <c r="Q43" s="77">
        <f t="shared" si="11"/>
        <v>-4.3999999999999986</v>
      </c>
      <c r="R43" s="77"/>
    </row>
    <row r="44" spans="1:20" ht="15" customHeight="1" x14ac:dyDescent="0.3">
      <c r="A44" s="352"/>
      <c r="B44" s="27"/>
      <c r="C44" s="109"/>
      <c r="D44" s="29"/>
      <c r="E44" s="28"/>
      <c r="F44" s="139"/>
      <c r="G44" s="119"/>
      <c r="H44" s="33">
        <f t="shared" ref="H44:K44" si="13">(H43-H42+1)/7</f>
        <v>0.5714285714285714</v>
      </c>
      <c r="I44" s="33">
        <f t="shared" si="13"/>
        <v>4.1428571428571432</v>
      </c>
      <c r="J44" s="193">
        <f t="shared" si="13"/>
        <v>2.8571428571428572</v>
      </c>
      <c r="K44" s="33">
        <f t="shared" si="13"/>
        <v>3.5714285714285716</v>
      </c>
      <c r="L44" s="35"/>
      <c r="M44" s="475"/>
      <c r="O44" s="77">
        <v>7.7</v>
      </c>
      <c r="P44" s="77">
        <v>10.7</v>
      </c>
      <c r="Q44" s="77">
        <f t="shared" si="11"/>
        <v>-2.9999999999999991</v>
      </c>
      <c r="R44" s="77"/>
    </row>
    <row r="45" spans="1:20" ht="16.5" customHeight="1" x14ac:dyDescent="0.3">
      <c r="A45" s="352"/>
      <c r="B45" s="13" t="s">
        <v>141</v>
      </c>
      <c r="C45" s="108">
        <v>16</v>
      </c>
      <c r="D45" s="15"/>
      <c r="E45" s="197"/>
      <c r="F45" s="138">
        <f t="shared" ref="F45" si="14">C45+D45+E45</f>
        <v>16</v>
      </c>
      <c r="G45" s="117">
        <v>45929</v>
      </c>
      <c r="H45" s="19">
        <v>45930</v>
      </c>
      <c r="I45" s="37">
        <v>45944</v>
      </c>
      <c r="J45" s="37"/>
      <c r="K45" s="37">
        <v>45979</v>
      </c>
      <c r="L45" s="21">
        <f>(K46-G45+1)/7</f>
        <v>11.571428571428571</v>
      </c>
      <c r="M45" s="386" t="s">
        <v>163</v>
      </c>
    </row>
    <row r="46" spans="1:20" ht="16.5" customHeight="1" x14ac:dyDescent="0.3">
      <c r="A46" s="352"/>
      <c r="B46" s="13"/>
      <c r="C46" s="108"/>
      <c r="D46" s="15"/>
      <c r="E46" s="14"/>
      <c r="F46" s="138"/>
      <c r="G46" s="118"/>
      <c r="H46" s="19">
        <v>45932</v>
      </c>
      <c r="I46" s="19">
        <v>45980</v>
      </c>
      <c r="J46" s="19"/>
      <c r="K46" s="120">
        <v>46009</v>
      </c>
      <c r="L46" s="24"/>
      <c r="M46" s="387"/>
      <c r="S46" s="26"/>
    </row>
    <row r="47" spans="1:20" ht="16.5" customHeight="1" x14ac:dyDescent="0.3">
      <c r="A47" s="352"/>
      <c r="B47" s="27"/>
      <c r="C47" s="109"/>
      <c r="D47" s="29"/>
      <c r="E47" s="28"/>
      <c r="F47" s="139"/>
      <c r="G47" s="119"/>
      <c r="H47" s="33">
        <f t="shared" ref="H47:I47" si="15">(H46-H45+1)/7</f>
        <v>0.42857142857142855</v>
      </c>
      <c r="I47" s="33">
        <f t="shared" si="15"/>
        <v>5.2857142857142856</v>
      </c>
      <c r="J47" s="33"/>
      <c r="K47" s="33">
        <f t="shared" ref="K47" si="16">(K46-K45+1)/7</f>
        <v>4.4285714285714288</v>
      </c>
      <c r="L47" s="35"/>
      <c r="M47" s="388"/>
    </row>
    <row r="48" spans="1:20" ht="16.5" customHeight="1" x14ac:dyDescent="0.3">
      <c r="A48" s="352"/>
      <c r="B48" s="13" t="s">
        <v>142</v>
      </c>
      <c r="C48" s="108"/>
      <c r="D48" s="15"/>
      <c r="E48" s="214">
        <v>8</v>
      </c>
      <c r="F48" s="138">
        <f t="shared" ref="F48" si="17">C48+D48+E48</f>
        <v>8</v>
      </c>
      <c r="G48" s="117">
        <v>45929</v>
      </c>
      <c r="H48" s="19">
        <v>45930</v>
      </c>
      <c r="I48" s="37">
        <v>45944</v>
      </c>
      <c r="J48" s="37">
        <v>45978</v>
      </c>
      <c r="K48" s="37">
        <v>46010</v>
      </c>
      <c r="L48" s="21">
        <f>(K49-G48+1)/7</f>
        <v>14.714285714285714</v>
      </c>
      <c r="M48" s="386" t="s">
        <v>164</v>
      </c>
    </row>
    <row r="49" spans="1:19" ht="16.5" customHeight="1" x14ac:dyDescent="0.3">
      <c r="A49" s="352"/>
      <c r="B49" s="13"/>
      <c r="C49" s="108"/>
      <c r="D49" s="15"/>
      <c r="E49" s="14"/>
      <c r="F49" s="138"/>
      <c r="G49" s="118"/>
      <c r="H49" s="19">
        <v>45932</v>
      </c>
      <c r="I49" s="19">
        <v>45980</v>
      </c>
      <c r="J49" s="19">
        <v>46009</v>
      </c>
      <c r="K49" s="120">
        <v>46031</v>
      </c>
      <c r="L49" s="24"/>
      <c r="M49" s="387"/>
    </row>
    <row r="50" spans="1:19" ht="16.5" customHeight="1" x14ac:dyDescent="0.3">
      <c r="A50" s="352"/>
      <c r="B50" s="27"/>
      <c r="C50" s="109"/>
      <c r="D50" s="29"/>
      <c r="E50" s="28"/>
      <c r="F50" s="139"/>
      <c r="G50" s="119"/>
      <c r="H50" s="33">
        <f t="shared" ref="H50:K50" si="18">(H49-H48+1)/7</f>
        <v>0.42857142857142855</v>
      </c>
      <c r="I50" s="33">
        <f t="shared" si="18"/>
        <v>5.2857142857142856</v>
      </c>
      <c r="J50" s="33">
        <f t="shared" si="18"/>
        <v>4.5714285714285712</v>
      </c>
      <c r="K50" s="33">
        <f t="shared" si="18"/>
        <v>3.1428571428571428</v>
      </c>
      <c r="L50" s="35"/>
      <c r="M50" s="388"/>
    </row>
    <row r="51" spans="1:19" ht="16.5" customHeight="1" x14ac:dyDescent="0.3">
      <c r="A51" s="352"/>
      <c r="B51" s="245" t="s">
        <v>143</v>
      </c>
      <c r="C51" s="110"/>
      <c r="D51" s="43"/>
      <c r="E51" s="244">
        <v>6</v>
      </c>
      <c r="F51" s="138">
        <f>C51+D51+E51</f>
        <v>6</v>
      </c>
      <c r="G51" s="117">
        <v>45971</v>
      </c>
      <c r="H51" s="37">
        <v>45972</v>
      </c>
      <c r="I51" s="37">
        <v>45980</v>
      </c>
      <c r="J51" s="37">
        <v>46020</v>
      </c>
      <c r="K51" s="201">
        <v>46034</v>
      </c>
      <c r="L51" s="202">
        <f>(K52-G51+1)/7</f>
        <v>12.285714285714286</v>
      </c>
      <c r="M51" s="357" t="s">
        <v>147</v>
      </c>
      <c r="O51" s="26"/>
      <c r="R51" s="39"/>
      <c r="S51" s="39"/>
    </row>
    <row r="52" spans="1:19" ht="16.5" customHeight="1" x14ac:dyDescent="0.3">
      <c r="A52" s="352"/>
      <c r="B52" s="246"/>
      <c r="C52" s="108"/>
      <c r="D52" s="15"/>
      <c r="E52" s="14"/>
      <c r="F52" s="138"/>
      <c r="G52" s="118"/>
      <c r="H52" s="19">
        <v>45975</v>
      </c>
      <c r="I52" s="19">
        <v>46017</v>
      </c>
      <c r="J52" s="19">
        <v>46033</v>
      </c>
      <c r="K52" s="203">
        <v>46056</v>
      </c>
      <c r="L52" s="204"/>
      <c r="M52" s="355"/>
      <c r="R52" s="39"/>
    </row>
    <row r="53" spans="1:19" ht="16.5" customHeight="1" x14ac:dyDescent="0.3">
      <c r="A53" s="352"/>
      <c r="B53" s="217"/>
      <c r="C53" s="109"/>
      <c r="D53" s="29"/>
      <c r="E53" s="28"/>
      <c r="F53" s="139"/>
      <c r="G53" s="119"/>
      <c r="H53" s="33">
        <f t="shared" ref="H53:K53" si="19">(H52-H51+1)/7</f>
        <v>0.5714285714285714</v>
      </c>
      <c r="I53" s="33">
        <f t="shared" si="19"/>
        <v>5.4285714285714288</v>
      </c>
      <c r="J53" s="193">
        <f t="shared" si="19"/>
        <v>2</v>
      </c>
      <c r="K53" s="205">
        <f t="shared" si="19"/>
        <v>3.2857142857142856</v>
      </c>
      <c r="L53" s="206"/>
      <c r="M53" s="356"/>
    </row>
    <row r="54" spans="1:19" ht="16.5" customHeight="1" x14ac:dyDescent="0.3">
      <c r="A54" s="352"/>
      <c r="B54" s="245" t="s">
        <v>144</v>
      </c>
      <c r="C54" s="110"/>
      <c r="D54" s="43">
        <v>16</v>
      </c>
      <c r="E54" s="239"/>
      <c r="F54" s="138">
        <f>C54+D54+E54</f>
        <v>16</v>
      </c>
      <c r="G54" s="117">
        <v>45971</v>
      </c>
      <c r="H54" s="37">
        <v>45972</v>
      </c>
      <c r="I54" s="37">
        <v>45980</v>
      </c>
      <c r="J54" s="201">
        <v>46020</v>
      </c>
      <c r="K54" s="201">
        <v>46050</v>
      </c>
      <c r="L54" s="202">
        <f>(K55-G54+1)/7</f>
        <v>16.428571428571427</v>
      </c>
      <c r="M54" s="357" t="s">
        <v>169</v>
      </c>
    </row>
    <row r="55" spans="1:19" ht="16.5" customHeight="1" x14ac:dyDescent="0.3">
      <c r="A55" s="352"/>
      <c r="B55" s="246"/>
      <c r="C55" s="108"/>
      <c r="D55" s="15"/>
      <c r="E55" s="14"/>
      <c r="F55" s="138"/>
      <c r="G55" s="118"/>
      <c r="H55" s="19">
        <v>45975</v>
      </c>
      <c r="I55" s="19">
        <v>46017</v>
      </c>
      <c r="J55" s="209">
        <v>46047</v>
      </c>
      <c r="K55" s="203">
        <v>46085</v>
      </c>
      <c r="L55" s="204"/>
      <c r="M55" s="355"/>
    </row>
    <row r="56" spans="1:19" ht="16.5" customHeight="1" x14ac:dyDescent="0.3">
      <c r="A56" s="352"/>
      <c r="B56" s="217"/>
      <c r="C56" s="109"/>
      <c r="D56" s="29"/>
      <c r="E56" s="28"/>
      <c r="F56" s="139"/>
      <c r="G56" s="119"/>
      <c r="H56" s="33">
        <f t="shared" ref="H56:K56" si="20">(H55-H54+1)/7</f>
        <v>0.5714285714285714</v>
      </c>
      <c r="I56" s="33">
        <f t="shared" si="20"/>
        <v>5.4285714285714288</v>
      </c>
      <c r="J56" s="211">
        <f t="shared" si="20"/>
        <v>4</v>
      </c>
      <c r="K56" s="205">
        <f t="shared" si="20"/>
        <v>5.1428571428571432</v>
      </c>
      <c r="L56" s="206"/>
      <c r="M56" s="356"/>
    </row>
    <row r="57" spans="1:19" ht="16.5" customHeight="1" x14ac:dyDescent="0.3">
      <c r="A57" s="352"/>
      <c r="B57" s="13" t="s">
        <v>145</v>
      </c>
      <c r="C57" s="108"/>
      <c r="D57" s="15"/>
      <c r="E57" s="214">
        <v>3</v>
      </c>
      <c r="F57" s="138">
        <f>C57+D57+E57</f>
        <v>3</v>
      </c>
      <c r="G57" s="117">
        <v>46013</v>
      </c>
      <c r="H57" s="37">
        <v>46014</v>
      </c>
      <c r="I57" s="37">
        <v>46020</v>
      </c>
      <c r="J57" s="201">
        <v>46055</v>
      </c>
      <c r="K57" s="201">
        <v>46086</v>
      </c>
      <c r="L57" s="202">
        <f>(K58-G57+1)/7</f>
        <v>12.428571428571429</v>
      </c>
      <c r="M57" s="357" t="s">
        <v>149</v>
      </c>
      <c r="O57" s="26"/>
      <c r="R57" s="39"/>
    </row>
    <row r="58" spans="1:19" ht="16.5" customHeight="1" x14ac:dyDescent="0.3">
      <c r="A58" s="352"/>
      <c r="B58" s="13"/>
      <c r="C58" s="108"/>
      <c r="D58" s="15"/>
      <c r="E58" s="214"/>
      <c r="F58" s="138"/>
      <c r="G58" s="118"/>
      <c r="H58" s="19">
        <v>46017</v>
      </c>
      <c r="I58" s="209">
        <v>46052</v>
      </c>
      <c r="J58" s="209">
        <v>46082</v>
      </c>
      <c r="K58" s="203">
        <v>46099</v>
      </c>
      <c r="L58" s="204"/>
      <c r="M58" s="355"/>
    </row>
    <row r="59" spans="1:19" ht="16.5" customHeight="1" x14ac:dyDescent="0.3">
      <c r="A59" s="352"/>
      <c r="B59" s="217"/>
      <c r="C59" s="109"/>
      <c r="D59" s="29"/>
      <c r="E59" s="216"/>
      <c r="F59" s="139"/>
      <c r="G59" s="119"/>
      <c r="H59" s="33">
        <f t="shared" ref="H59:K59" si="21">(H58-H57+1)/7</f>
        <v>0.5714285714285714</v>
      </c>
      <c r="I59" s="205">
        <f t="shared" si="21"/>
        <v>4.7142857142857144</v>
      </c>
      <c r="J59" s="211">
        <f t="shared" si="21"/>
        <v>4</v>
      </c>
      <c r="K59" s="205">
        <f t="shared" si="21"/>
        <v>2</v>
      </c>
      <c r="L59" s="206"/>
      <c r="M59" s="356"/>
    </row>
    <row r="60" spans="1:19" ht="16.5" customHeight="1" x14ac:dyDescent="0.3">
      <c r="A60" s="352"/>
      <c r="B60" s="13" t="s">
        <v>146</v>
      </c>
      <c r="C60" s="108">
        <v>9</v>
      </c>
      <c r="D60" s="15">
        <v>7</v>
      </c>
      <c r="E60" s="197"/>
      <c r="F60" s="138">
        <f>C60+D60+E60</f>
        <v>16</v>
      </c>
      <c r="G60" s="117">
        <v>46013</v>
      </c>
      <c r="H60" s="37">
        <v>46014</v>
      </c>
      <c r="I60" s="37">
        <v>46020</v>
      </c>
      <c r="J60" s="201">
        <v>46055</v>
      </c>
      <c r="K60" s="201">
        <v>46087</v>
      </c>
      <c r="L60" s="202">
        <f>(K61-G60+1)/7</f>
        <v>13.285714285714286</v>
      </c>
      <c r="M60" s="357" t="s">
        <v>170</v>
      </c>
    </row>
    <row r="61" spans="1:19" ht="16.5" customHeight="1" x14ac:dyDescent="0.3">
      <c r="A61" s="352"/>
      <c r="B61" s="196"/>
      <c r="C61" s="108"/>
      <c r="D61" s="15"/>
      <c r="E61" s="214"/>
      <c r="F61" s="138"/>
      <c r="G61" s="118"/>
      <c r="H61" s="19">
        <v>46017</v>
      </c>
      <c r="I61" s="209">
        <v>46052</v>
      </c>
      <c r="J61" s="209">
        <v>46082</v>
      </c>
      <c r="K61" s="203">
        <v>46105</v>
      </c>
      <c r="L61" s="204"/>
      <c r="M61" s="355"/>
    </row>
    <row r="62" spans="1:19" ht="16.5" customHeight="1" x14ac:dyDescent="0.3">
      <c r="A62" s="352"/>
      <c r="B62" s="215"/>
      <c r="C62" s="109"/>
      <c r="D62" s="29"/>
      <c r="E62" s="216"/>
      <c r="F62" s="139"/>
      <c r="G62" s="119"/>
      <c r="H62" s="33">
        <f t="shared" ref="H62:K62" si="22">(H61-H60+1)/7</f>
        <v>0.5714285714285714</v>
      </c>
      <c r="I62" s="205">
        <f t="shared" si="22"/>
        <v>4.7142857142857144</v>
      </c>
      <c r="J62" s="211">
        <f t="shared" si="22"/>
        <v>4</v>
      </c>
      <c r="K62" s="205">
        <f t="shared" si="22"/>
        <v>2.7142857142857144</v>
      </c>
      <c r="L62" s="206"/>
      <c r="M62" s="356"/>
    </row>
    <row r="63" spans="1:19" ht="16.5" customHeight="1" x14ac:dyDescent="0.3">
      <c r="A63" s="352"/>
      <c r="B63" s="13" t="s">
        <v>86</v>
      </c>
      <c r="C63" s="108"/>
      <c r="D63" s="15">
        <v>14</v>
      </c>
      <c r="E63" s="197"/>
      <c r="F63" s="138">
        <f t="shared" ref="F63" si="23">C63+D63+E63</f>
        <v>14</v>
      </c>
      <c r="G63" s="207">
        <v>46041</v>
      </c>
      <c r="H63" s="201">
        <v>46042</v>
      </c>
      <c r="I63" s="201">
        <v>46051</v>
      </c>
      <c r="J63" s="201">
        <v>46076</v>
      </c>
      <c r="K63" s="201">
        <v>46106</v>
      </c>
      <c r="L63" s="202">
        <f>(K64-G63+1)/7</f>
        <v>11.428571428571429</v>
      </c>
      <c r="M63" s="357" t="s">
        <v>171</v>
      </c>
      <c r="O63" s="26"/>
    </row>
    <row r="64" spans="1:19" ht="16.5" customHeight="1" x14ac:dyDescent="0.3">
      <c r="A64" s="352"/>
      <c r="B64" s="13"/>
      <c r="C64" s="108"/>
      <c r="D64" s="15"/>
      <c r="E64" s="214"/>
      <c r="F64" s="138"/>
      <c r="G64" s="208"/>
      <c r="H64" s="209">
        <v>46045</v>
      </c>
      <c r="I64" s="209">
        <v>46075</v>
      </c>
      <c r="J64" s="209">
        <v>46103</v>
      </c>
      <c r="K64" s="203">
        <v>46120</v>
      </c>
      <c r="L64" s="204"/>
      <c r="M64" s="355"/>
    </row>
    <row r="65" spans="1:17" ht="16.5" customHeight="1" x14ac:dyDescent="0.3">
      <c r="A65" s="352"/>
      <c r="B65" s="217"/>
      <c r="C65" s="109"/>
      <c r="D65" s="29"/>
      <c r="E65" s="216"/>
      <c r="F65" s="139"/>
      <c r="G65" s="210"/>
      <c r="H65" s="205">
        <f t="shared" ref="H65:K65" si="24">(H64-H63+1)/7</f>
        <v>0.5714285714285714</v>
      </c>
      <c r="I65" s="205">
        <f t="shared" si="24"/>
        <v>3.5714285714285716</v>
      </c>
      <c r="J65" s="211">
        <f t="shared" si="24"/>
        <v>4</v>
      </c>
      <c r="K65" s="205">
        <f t="shared" si="24"/>
        <v>2.1428571428571428</v>
      </c>
      <c r="L65" s="206"/>
      <c r="M65" s="356"/>
    </row>
    <row r="66" spans="1:17" ht="16.5" customHeight="1" x14ac:dyDescent="0.3">
      <c r="A66" s="352"/>
      <c r="B66" s="13" t="s">
        <v>87</v>
      </c>
      <c r="C66" s="108"/>
      <c r="D66" s="15">
        <v>18</v>
      </c>
      <c r="E66" s="14"/>
      <c r="F66" s="138">
        <f t="shared" ref="F66" si="25">C66+D66+E66</f>
        <v>18</v>
      </c>
      <c r="G66" s="207">
        <v>46062</v>
      </c>
      <c r="H66" s="201">
        <v>46063</v>
      </c>
      <c r="I66" s="201">
        <v>46076</v>
      </c>
      <c r="J66" s="201">
        <v>46111</v>
      </c>
      <c r="K66" s="201">
        <v>46118</v>
      </c>
      <c r="L66" s="202">
        <f>(K67-G66+1)/7</f>
        <v>11.571428571428571</v>
      </c>
      <c r="M66" s="357" t="s">
        <v>152</v>
      </c>
    </row>
    <row r="67" spans="1:17" ht="16.5" customHeight="1" x14ac:dyDescent="0.3">
      <c r="A67" s="352"/>
      <c r="B67" s="13"/>
      <c r="C67" s="108"/>
      <c r="D67" s="15"/>
      <c r="E67" s="14"/>
      <c r="F67" s="138"/>
      <c r="G67" s="208"/>
      <c r="H67" s="209">
        <v>46066</v>
      </c>
      <c r="I67" s="209">
        <v>46108</v>
      </c>
      <c r="J67" s="209">
        <v>46117</v>
      </c>
      <c r="K67" s="203">
        <v>46142</v>
      </c>
      <c r="L67" s="204"/>
      <c r="M67" s="355"/>
    </row>
    <row r="68" spans="1:17" ht="16.5" customHeight="1" x14ac:dyDescent="0.3">
      <c r="A68" s="352"/>
      <c r="B68" s="217"/>
      <c r="C68" s="109"/>
      <c r="D68" s="29"/>
      <c r="E68" s="28"/>
      <c r="F68" s="139"/>
      <c r="G68" s="210"/>
      <c r="H68" s="205">
        <f t="shared" ref="H68:K68" si="26">(H67-H66+1)/7</f>
        <v>0.5714285714285714</v>
      </c>
      <c r="I68" s="205">
        <f t="shared" si="26"/>
        <v>4.7142857142857144</v>
      </c>
      <c r="J68" s="211">
        <f t="shared" si="26"/>
        <v>1</v>
      </c>
      <c r="K68" s="205">
        <f t="shared" si="26"/>
        <v>3.5714285714285716</v>
      </c>
      <c r="L68" s="206"/>
      <c r="M68" s="356"/>
    </row>
    <row r="69" spans="1:17" ht="16.5" customHeight="1" x14ac:dyDescent="0.3">
      <c r="A69" s="352"/>
      <c r="B69" s="13" t="s">
        <v>88</v>
      </c>
      <c r="C69" s="108"/>
      <c r="D69" s="15">
        <v>19</v>
      </c>
      <c r="E69" s="14"/>
      <c r="F69" s="138">
        <f t="shared" ref="F69" si="27">C69+D69+E69</f>
        <v>19</v>
      </c>
      <c r="G69" s="207">
        <v>46104</v>
      </c>
      <c r="H69" s="201">
        <v>46105</v>
      </c>
      <c r="I69" s="201">
        <v>46111</v>
      </c>
      <c r="J69" s="209"/>
      <c r="K69" s="201">
        <v>46148</v>
      </c>
      <c r="L69" s="202">
        <f>(K70-G69+1)/7</f>
        <v>9.7142857142857135</v>
      </c>
      <c r="M69" s="365" t="s">
        <v>153</v>
      </c>
      <c r="O69" s="26"/>
    </row>
    <row r="70" spans="1:17" ht="16.5" customHeight="1" x14ac:dyDescent="0.3">
      <c r="A70" s="352"/>
      <c r="B70" s="13"/>
      <c r="C70" s="108"/>
      <c r="D70" s="15"/>
      <c r="E70" s="14"/>
      <c r="F70" s="138"/>
      <c r="G70" s="208"/>
      <c r="H70" s="209">
        <v>46108</v>
      </c>
      <c r="I70" s="209">
        <v>46142</v>
      </c>
      <c r="J70" s="209"/>
      <c r="K70" s="203">
        <v>46171</v>
      </c>
      <c r="L70" s="204"/>
      <c r="M70" s="366"/>
    </row>
    <row r="71" spans="1:17" ht="16.5" customHeight="1" thickBot="1" x14ac:dyDescent="0.35">
      <c r="A71" s="353"/>
      <c r="B71" s="47"/>
      <c r="C71" s="111"/>
      <c r="D71" s="49"/>
      <c r="E71" s="48"/>
      <c r="F71" s="105"/>
      <c r="G71" s="218"/>
      <c r="H71" s="219">
        <f t="shared" ref="H71:I71" si="28">(H70-H69+1)/7</f>
        <v>0.5714285714285714</v>
      </c>
      <c r="I71" s="219">
        <f t="shared" si="28"/>
        <v>4.5714285714285712</v>
      </c>
      <c r="J71" s="220"/>
      <c r="K71" s="219">
        <f t="shared" ref="K71" si="29">(K70-K69+1)/7</f>
        <v>3.4285714285714284</v>
      </c>
      <c r="L71" s="221"/>
      <c r="M71" s="367"/>
      <c r="Q71" s="39"/>
    </row>
    <row r="72" spans="1:17" ht="24" customHeight="1" thickBot="1" x14ac:dyDescent="0.35">
      <c r="A72" s="343" t="s">
        <v>10</v>
      </c>
      <c r="B72" s="344"/>
      <c r="C72" s="112">
        <f>SUM(C33:C71)</f>
        <v>87</v>
      </c>
      <c r="D72" s="114">
        <f t="shared" ref="D72:E72" si="30">SUM(D33:D71)</f>
        <v>74</v>
      </c>
      <c r="E72" s="57">
        <f t="shared" si="30"/>
        <v>17</v>
      </c>
      <c r="F72" s="140">
        <f>SUM(C72:E72)</f>
        <v>178</v>
      </c>
      <c r="G72" s="453" t="s">
        <v>42</v>
      </c>
      <c r="H72" s="454"/>
      <c r="I72" s="454"/>
      <c r="J72" s="454"/>
      <c r="K72" s="455"/>
      <c r="L72" s="61">
        <f>AVERAGE(L33:L71)</f>
        <v>12.175824175824177</v>
      </c>
      <c r="M72" s="62" t="s">
        <v>41</v>
      </c>
    </row>
    <row r="73" spans="1:17" ht="24" customHeight="1" thickBot="1" x14ac:dyDescent="0.35">
      <c r="A73" s="345" t="s">
        <v>69</v>
      </c>
      <c r="B73" s="346"/>
      <c r="C73" s="112">
        <f>C32+C72</f>
        <v>111</v>
      </c>
      <c r="D73" s="114">
        <f t="shared" ref="D73:E73" si="31">D32+D72</f>
        <v>123</v>
      </c>
      <c r="E73" s="57">
        <f t="shared" si="31"/>
        <v>17</v>
      </c>
      <c r="F73" s="140">
        <f>SUM(C73:E73)</f>
        <v>251</v>
      </c>
      <c r="G73" s="456" t="s">
        <v>70</v>
      </c>
      <c r="H73" s="457"/>
      <c r="I73" s="457"/>
      <c r="J73" s="457"/>
      <c r="K73" s="458"/>
      <c r="L73" s="61">
        <f>AVERAGE(L32,L72)</f>
        <v>11.754578754578755</v>
      </c>
      <c r="M73" s="62" t="s">
        <v>41</v>
      </c>
    </row>
    <row r="74" spans="1:17" ht="45.75" customHeight="1" x14ac:dyDescent="0.3">
      <c r="A74" s="347" t="s">
        <v>71</v>
      </c>
      <c r="B74" s="347"/>
      <c r="C74" s="347"/>
      <c r="D74" s="347"/>
      <c r="E74" s="347"/>
      <c r="F74" s="347"/>
      <c r="G74" s="347"/>
      <c r="H74" s="347"/>
      <c r="I74" s="347"/>
      <c r="J74" s="347"/>
      <c r="K74" s="347"/>
      <c r="L74" s="347"/>
      <c r="M74" s="347"/>
    </row>
    <row r="75" spans="1:17" ht="17.25" x14ac:dyDescent="0.3">
      <c r="A75" s="194"/>
      <c r="H75" s="39"/>
    </row>
    <row r="76" spans="1:17" x14ac:dyDescent="0.3">
      <c r="G76" s="39"/>
      <c r="H76" s="39"/>
    </row>
    <row r="77" spans="1:17" x14ac:dyDescent="0.3">
      <c r="C77" s="39"/>
      <c r="D77" s="39"/>
      <c r="G77" s="39"/>
    </row>
  </sheetData>
  <mergeCells count="64">
    <mergeCell ref="I6:J6"/>
    <mergeCell ref="I7:J7"/>
    <mergeCell ref="I8:J8"/>
    <mergeCell ref="K4:M4"/>
    <mergeCell ref="K5:M7"/>
    <mergeCell ref="K8:M8"/>
    <mergeCell ref="A74:M74"/>
    <mergeCell ref="M48:M50"/>
    <mergeCell ref="M54:M56"/>
    <mergeCell ref="M60:M62"/>
    <mergeCell ref="A33:A71"/>
    <mergeCell ref="M57:M59"/>
    <mergeCell ref="M63:M65"/>
    <mergeCell ref="M66:M68"/>
    <mergeCell ref="M69:M71"/>
    <mergeCell ref="A72:B72"/>
    <mergeCell ref="G72:K72"/>
    <mergeCell ref="M39:M41"/>
    <mergeCell ref="M42:M44"/>
    <mergeCell ref="M45:M47"/>
    <mergeCell ref="O32:P32"/>
    <mergeCell ref="M33:M35"/>
    <mergeCell ref="M36:M38"/>
    <mergeCell ref="A73:B73"/>
    <mergeCell ref="G73:K73"/>
    <mergeCell ref="M51:M53"/>
    <mergeCell ref="A32:B32"/>
    <mergeCell ref="G32:K32"/>
    <mergeCell ref="A14:A31"/>
    <mergeCell ref="M14:M16"/>
    <mergeCell ref="M17:M19"/>
    <mergeCell ref="M20:M22"/>
    <mergeCell ref="M23:M25"/>
    <mergeCell ref="M26:M28"/>
    <mergeCell ref="M29:M31"/>
    <mergeCell ref="M11:M13"/>
    <mergeCell ref="C12:D12"/>
    <mergeCell ref="G12:L12"/>
    <mergeCell ref="A8:B8"/>
    <mergeCell ref="C8:F8"/>
    <mergeCell ref="G8:H8"/>
    <mergeCell ref="A10:B10"/>
    <mergeCell ref="G10:M10"/>
    <mergeCell ref="A11:A13"/>
    <mergeCell ref="B11:B13"/>
    <mergeCell ref="C11:E11"/>
    <mergeCell ref="F11:F13"/>
    <mergeCell ref="G11:L11"/>
    <mergeCell ref="A7:B7"/>
    <mergeCell ref="C7:F7"/>
    <mergeCell ref="G7:H7"/>
    <mergeCell ref="A1:M1"/>
    <mergeCell ref="A3:B3"/>
    <mergeCell ref="A4:B4"/>
    <mergeCell ref="C4:F4"/>
    <mergeCell ref="G4:H4"/>
    <mergeCell ref="I4:J4"/>
    <mergeCell ref="A5:B5"/>
    <mergeCell ref="C5:F5"/>
    <mergeCell ref="G5:H5"/>
    <mergeCell ref="A6:B6"/>
    <mergeCell ref="C6:F6"/>
    <mergeCell ref="G6:H6"/>
    <mergeCell ref="I5:J5"/>
  </mergeCells>
  <phoneticPr fontId="2" type="noConversion"/>
  <printOptions horizontalCentered="1"/>
  <pageMargins left="0.31496062992125984" right="0.31496062992125984" top="0.74803149606299213" bottom="0.39370078740157483" header="0.31496062992125984" footer="0.31496062992125984"/>
  <pageSetup paperSize="9" scale="53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4843A-4053-4407-A88C-BEEF405737C0}">
  <sheetPr>
    <pageSetUpPr fitToPage="1"/>
  </sheetPr>
  <dimension ref="A1:T77"/>
  <sheetViews>
    <sheetView showGridLines="0" workbookViewId="0">
      <pane xSplit="2" ySplit="13" topLeftCell="C14" activePane="bottomRight" state="frozen"/>
      <selection pane="topRight" activeCell="C1" sqref="C1"/>
      <selection pane="bottomLeft" activeCell="A14" sqref="A14"/>
      <selection pane="bottomRight" activeCell="G60" sqref="G60"/>
    </sheetView>
  </sheetViews>
  <sheetFormatPr defaultColWidth="9" defaultRowHeight="16.5" x14ac:dyDescent="0.3"/>
  <cols>
    <col min="1" max="1" width="10.5" style="5" customWidth="1"/>
    <col min="2" max="2" width="13" style="5" customWidth="1"/>
    <col min="3" max="6" width="6.375" style="5" customWidth="1"/>
    <col min="7" max="11" width="11.625" style="5" customWidth="1"/>
    <col min="12" max="12" width="10.125" style="5" customWidth="1"/>
    <col min="13" max="13" width="18" style="100" customWidth="1"/>
    <col min="14" max="14" width="5.625" style="5" customWidth="1"/>
    <col min="15" max="15" width="15.625" style="5" hidden="1" customWidth="1"/>
    <col min="16" max="17" width="11.75" style="5" hidden="1" customWidth="1"/>
    <col min="18" max="23" width="8.75" style="5" customWidth="1"/>
    <col min="24" max="16384" width="9" style="5"/>
  </cols>
  <sheetData>
    <row r="1" spans="1:19" s="1" customFormat="1" ht="39" customHeight="1" x14ac:dyDescent="0.3">
      <c r="A1" s="471" t="s">
        <v>126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</row>
    <row r="2" spans="1:19" ht="22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>
        <v>45987</v>
      </c>
    </row>
    <row r="3" spans="1:19" ht="24" customHeight="1" x14ac:dyDescent="0.3">
      <c r="A3" s="418" t="s">
        <v>0</v>
      </c>
      <c r="B3" s="419"/>
      <c r="C3" s="2"/>
      <c r="D3" s="2"/>
      <c r="E3" s="2"/>
      <c r="F3" s="2"/>
      <c r="G3" s="6"/>
      <c r="H3" s="6"/>
      <c r="I3" s="6"/>
      <c r="J3" s="6"/>
      <c r="K3" s="6"/>
      <c r="L3" s="6"/>
      <c r="M3" s="7"/>
    </row>
    <row r="4" spans="1:19" ht="35.25" customHeight="1" thickBot="1" x14ac:dyDescent="0.35">
      <c r="A4" s="420" t="s">
        <v>1</v>
      </c>
      <c r="B4" s="421"/>
      <c r="C4" s="422" t="s">
        <v>94</v>
      </c>
      <c r="D4" s="423"/>
      <c r="E4" s="424"/>
      <c r="F4" s="420"/>
      <c r="G4" s="422" t="s">
        <v>95</v>
      </c>
      <c r="H4" s="420"/>
      <c r="I4" s="426" t="s">
        <v>5</v>
      </c>
      <c r="J4" s="424"/>
      <c r="K4" s="424"/>
      <c r="L4" s="424"/>
      <c r="M4" s="424"/>
    </row>
    <row r="5" spans="1:19" ht="24" customHeight="1" x14ac:dyDescent="0.3">
      <c r="A5" s="427" t="s">
        <v>9</v>
      </c>
      <c r="B5" s="428"/>
      <c r="C5" s="429">
        <f>F41</f>
        <v>115</v>
      </c>
      <c r="D5" s="430"/>
      <c r="E5" s="430"/>
      <c r="F5" s="431"/>
      <c r="G5" s="429"/>
      <c r="H5" s="431"/>
      <c r="I5" s="434" t="s">
        <v>161</v>
      </c>
      <c r="J5" s="435"/>
      <c r="K5" s="466"/>
      <c r="L5" s="466"/>
      <c r="M5" s="466"/>
    </row>
    <row r="6" spans="1:19" ht="24" customHeight="1" x14ac:dyDescent="0.3">
      <c r="A6" s="440" t="s">
        <v>73</v>
      </c>
      <c r="B6" s="441"/>
      <c r="C6" s="442">
        <f>SUM(F42:F62)</f>
        <v>168</v>
      </c>
      <c r="D6" s="443"/>
      <c r="E6" s="443"/>
      <c r="F6" s="444"/>
      <c r="G6" s="442"/>
      <c r="H6" s="444"/>
      <c r="I6" s="467"/>
      <c r="J6" s="468"/>
      <c r="K6" s="468"/>
      <c r="L6" s="468"/>
      <c r="M6" s="468"/>
    </row>
    <row r="7" spans="1:19" ht="24" customHeight="1" thickBot="1" x14ac:dyDescent="0.35">
      <c r="A7" s="445" t="s">
        <v>127</v>
      </c>
      <c r="B7" s="446"/>
      <c r="C7" s="392"/>
      <c r="D7" s="447"/>
      <c r="E7" s="447"/>
      <c r="F7" s="393"/>
      <c r="G7" s="392">
        <f>SUM(F57:F71)</f>
        <v>120</v>
      </c>
      <c r="H7" s="393"/>
      <c r="I7" s="469"/>
      <c r="J7" s="470"/>
      <c r="K7" s="470"/>
      <c r="L7" s="470"/>
      <c r="M7" s="470"/>
    </row>
    <row r="8" spans="1:19" ht="24" customHeight="1" x14ac:dyDescent="0.3">
      <c r="A8" s="407" t="s">
        <v>10</v>
      </c>
      <c r="B8" s="408"/>
      <c r="C8" s="409">
        <f>SUM(C5:F7)</f>
        <v>283</v>
      </c>
      <c r="D8" s="410"/>
      <c r="E8" s="410"/>
      <c r="F8" s="411"/>
      <c r="G8" s="409">
        <f>G7</f>
        <v>120</v>
      </c>
      <c r="H8" s="411"/>
      <c r="I8" s="412"/>
      <c r="J8" s="414"/>
      <c r="K8" s="414"/>
      <c r="L8" s="414"/>
      <c r="M8" s="414"/>
    </row>
    <row r="9" spans="1:19" ht="12" customHeight="1" x14ac:dyDescent="0.3">
      <c r="A9" s="8"/>
      <c r="B9" s="8"/>
      <c r="C9" s="8"/>
      <c r="D9" s="8"/>
      <c r="E9" s="125"/>
      <c r="F9" s="8"/>
      <c r="G9" s="125"/>
      <c r="H9" s="8"/>
      <c r="I9" s="8"/>
      <c r="J9" s="8"/>
      <c r="K9" s="8"/>
      <c r="L9" s="8"/>
      <c r="M9" s="8"/>
      <c r="R9" s="39"/>
    </row>
    <row r="10" spans="1:19" ht="29.25" customHeight="1" thickBot="1" x14ac:dyDescent="0.35">
      <c r="A10" s="415" t="s">
        <v>11</v>
      </c>
      <c r="B10" s="416"/>
      <c r="C10" s="8"/>
      <c r="D10" s="8"/>
      <c r="E10" s="8"/>
      <c r="F10" s="8"/>
      <c r="G10" s="195"/>
      <c r="H10" s="195"/>
      <c r="I10" s="195"/>
      <c r="J10" s="195"/>
      <c r="K10" s="195"/>
      <c r="L10" s="195"/>
      <c r="M10" s="195"/>
    </row>
    <row r="11" spans="1:19" ht="36" customHeight="1" x14ac:dyDescent="0.3">
      <c r="A11" s="394" t="s">
        <v>12</v>
      </c>
      <c r="B11" s="397" t="s">
        <v>13</v>
      </c>
      <c r="C11" s="399" t="s">
        <v>14</v>
      </c>
      <c r="D11" s="399"/>
      <c r="E11" s="400"/>
      <c r="F11" s="401" t="s">
        <v>15</v>
      </c>
      <c r="G11" s="404" t="s">
        <v>18</v>
      </c>
      <c r="H11" s="405"/>
      <c r="I11" s="405"/>
      <c r="J11" s="405"/>
      <c r="K11" s="405"/>
      <c r="L11" s="406"/>
      <c r="M11" s="460" t="s">
        <v>162</v>
      </c>
    </row>
    <row r="12" spans="1:19" ht="22.5" customHeight="1" x14ac:dyDescent="0.3">
      <c r="A12" s="395"/>
      <c r="B12" s="398"/>
      <c r="C12" s="463" t="s">
        <v>96</v>
      </c>
      <c r="D12" s="464"/>
      <c r="E12" s="113" t="s">
        <v>139</v>
      </c>
      <c r="F12" s="402"/>
      <c r="G12" s="465" t="s">
        <v>114</v>
      </c>
      <c r="H12" s="382"/>
      <c r="I12" s="382"/>
      <c r="J12" s="382"/>
      <c r="K12" s="382"/>
      <c r="L12" s="383"/>
      <c r="M12" s="461"/>
    </row>
    <row r="13" spans="1:19" ht="35.25" customHeight="1" thickBot="1" x14ac:dyDescent="0.35">
      <c r="A13" s="396"/>
      <c r="B13" s="385"/>
      <c r="C13" s="107" t="s">
        <v>98</v>
      </c>
      <c r="D13" s="104" t="s">
        <v>99</v>
      </c>
      <c r="E13" s="104" t="s">
        <v>98</v>
      </c>
      <c r="F13" s="403"/>
      <c r="G13" s="9" t="s">
        <v>23</v>
      </c>
      <c r="H13" s="10" t="s">
        <v>24</v>
      </c>
      <c r="I13" s="10" t="s">
        <v>25</v>
      </c>
      <c r="J13" s="10" t="s">
        <v>111</v>
      </c>
      <c r="K13" s="11" t="s">
        <v>26</v>
      </c>
      <c r="L13" s="12" t="s">
        <v>27</v>
      </c>
      <c r="M13" s="462"/>
    </row>
    <row r="14" spans="1:19" ht="16.5" customHeight="1" x14ac:dyDescent="0.3">
      <c r="A14" s="351" t="s">
        <v>74</v>
      </c>
      <c r="B14" s="196" t="s">
        <v>141</v>
      </c>
      <c r="C14" s="108">
        <v>16</v>
      </c>
      <c r="D14" s="15"/>
      <c r="E14" s="197"/>
      <c r="F14" s="138">
        <f t="shared" ref="F14" si="0">C14+D14+E14</f>
        <v>16</v>
      </c>
      <c r="G14" s="117">
        <v>45929</v>
      </c>
      <c r="H14" s="19">
        <v>45930</v>
      </c>
      <c r="I14" s="37">
        <v>45944</v>
      </c>
      <c r="J14" s="37"/>
      <c r="K14" s="37">
        <v>45979</v>
      </c>
      <c r="L14" s="21">
        <f>(K15-G14+1)/7</f>
        <v>11.571428571428571</v>
      </c>
      <c r="M14" s="386" t="s">
        <v>163</v>
      </c>
    </row>
    <row r="15" spans="1:19" ht="16.5" customHeight="1" x14ac:dyDescent="0.3">
      <c r="A15" s="352"/>
      <c r="B15" s="196"/>
      <c r="C15" s="108"/>
      <c r="D15" s="15"/>
      <c r="E15" s="14"/>
      <c r="F15" s="138"/>
      <c r="G15" s="118"/>
      <c r="H15" s="19">
        <v>45932</v>
      </c>
      <c r="I15" s="19">
        <v>45980</v>
      </c>
      <c r="J15" s="19"/>
      <c r="K15" s="120">
        <v>46009</v>
      </c>
      <c r="L15" s="24"/>
      <c r="M15" s="387"/>
      <c r="S15" s="26"/>
    </row>
    <row r="16" spans="1:19" ht="16.5" customHeight="1" x14ac:dyDescent="0.3">
      <c r="A16" s="352"/>
      <c r="B16" s="198"/>
      <c r="C16" s="109"/>
      <c r="D16" s="29"/>
      <c r="E16" s="28"/>
      <c r="F16" s="139"/>
      <c r="G16" s="119"/>
      <c r="H16" s="33">
        <f t="shared" ref="H16:I16" si="1">(H15-H14+1)/7</f>
        <v>0.42857142857142855</v>
      </c>
      <c r="I16" s="33">
        <f t="shared" si="1"/>
        <v>5.2857142857142856</v>
      </c>
      <c r="J16" s="33"/>
      <c r="K16" s="33">
        <f t="shared" ref="K16" si="2">(K15-K14+1)/7</f>
        <v>4.4285714285714288</v>
      </c>
      <c r="L16" s="35"/>
      <c r="M16" s="388"/>
    </row>
    <row r="17" spans="1:19" ht="16.5" customHeight="1" x14ac:dyDescent="0.3">
      <c r="A17" s="352"/>
      <c r="B17" s="196" t="s">
        <v>142</v>
      </c>
      <c r="C17" s="108"/>
      <c r="D17" s="15"/>
      <c r="E17" s="14">
        <v>7</v>
      </c>
      <c r="F17" s="238">
        <f t="shared" ref="F17" si="3">C17+D17+E17</f>
        <v>7</v>
      </c>
      <c r="G17" s="117">
        <v>45929</v>
      </c>
      <c r="H17" s="19">
        <v>45930</v>
      </c>
      <c r="I17" s="37">
        <v>45944</v>
      </c>
      <c r="J17" s="37">
        <v>45978</v>
      </c>
      <c r="K17" s="201">
        <v>46006</v>
      </c>
      <c r="L17" s="202">
        <f>(K18-G17+1)/7</f>
        <v>14.714285714285714</v>
      </c>
      <c r="M17" s="489" t="s">
        <v>160</v>
      </c>
    </row>
    <row r="18" spans="1:19" ht="16.5" customHeight="1" x14ac:dyDescent="0.3">
      <c r="A18" s="352"/>
      <c r="B18" s="196"/>
      <c r="C18" s="108"/>
      <c r="D18" s="15"/>
      <c r="E18" s="14"/>
      <c r="F18" s="138"/>
      <c r="G18" s="118"/>
      <c r="H18" s="19">
        <v>45932</v>
      </c>
      <c r="I18" s="19">
        <v>45980</v>
      </c>
      <c r="J18" s="19">
        <v>46005</v>
      </c>
      <c r="K18" s="203">
        <v>46031</v>
      </c>
      <c r="L18" s="204"/>
      <c r="M18" s="490"/>
    </row>
    <row r="19" spans="1:19" ht="16.5" customHeight="1" x14ac:dyDescent="0.3">
      <c r="A19" s="352"/>
      <c r="B19" s="198"/>
      <c r="C19" s="109"/>
      <c r="D19" s="29"/>
      <c r="E19" s="28"/>
      <c r="F19" s="139"/>
      <c r="G19" s="119"/>
      <c r="H19" s="33">
        <f t="shared" ref="H19:J19" si="4">(H18-H17+1)/7</f>
        <v>0.42857142857142855</v>
      </c>
      <c r="I19" s="33">
        <f t="shared" si="4"/>
        <v>5.2857142857142856</v>
      </c>
      <c r="J19" s="33">
        <f t="shared" si="4"/>
        <v>4</v>
      </c>
      <c r="K19" s="205">
        <f t="shared" ref="K19" si="5">(K18-K17+1)/7</f>
        <v>3.7142857142857144</v>
      </c>
      <c r="L19" s="206"/>
      <c r="M19" s="491"/>
    </row>
    <row r="20" spans="1:19" ht="16.5" customHeight="1" x14ac:dyDescent="0.3">
      <c r="A20" s="352"/>
      <c r="B20" s="212" t="s">
        <v>143</v>
      </c>
      <c r="C20" s="110"/>
      <c r="D20" s="43"/>
      <c r="E20" s="42">
        <v>6</v>
      </c>
      <c r="F20" s="238">
        <f>C20+D20+E20</f>
        <v>6</v>
      </c>
      <c r="G20" s="117">
        <v>45971</v>
      </c>
      <c r="H20" s="37">
        <v>45972</v>
      </c>
      <c r="I20" s="37">
        <v>45980</v>
      </c>
      <c r="J20" s="201">
        <v>46020</v>
      </c>
      <c r="K20" s="201">
        <v>46027</v>
      </c>
      <c r="L20" s="202">
        <f>(K21-G20+1)/7</f>
        <v>10.714285714285714</v>
      </c>
      <c r="M20" s="358" t="s">
        <v>147</v>
      </c>
      <c r="O20" s="26"/>
      <c r="R20" s="39"/>
      <c r="S20" s="39"/>
    </row>
    <row r="21" spans="1:19" ht="16.5" customHeight="1" x14ac:dyDescent="0.3">
      <c r="A21" s="352"/>
      <c r="B21" s="213"/>
      <c r="C21" s="108"/>
      <c r="D21" s="15"/>
      <c r="E21" s="14"/>
      <c r="F21" s="138"/>
      <c r="G21" s="118"/>
      <c r="H21" s="19">
        <v>45975</v>
      </c>
      <c r="I21" s="19">
        <v>46017</v>
      </c>
      <c r="J21" s="209">
        <v>46026</v>
      </c>
      <c r="K21" s="203">
        <v>46045</v>
      </c>
      <c r="L21" s="204"/>
      <c r="M21" s="359"/>
      <c r="R21" s="39"/>
    </row>
    <row r="22" spans="1:19" ht="16.5" customHeight="1" x14ac:dyDescent="0.3">
      <c r="A22" s="352"/>
      <c r="B22" s="215"/>
      <c r="C22" s="109"/>
      <c r="D22" s="29"/>
      <c r="E22" s="28"/>
      <c r="F22" s="139"/>
      <c r="G22" s="119"/>
      <c r="H22" s="33">
        <f t="shared" ref="H22:K22" si="6">(H21-H20+1)/7</f>
        <v>0.5714285714285714</v>
      </c>
      <c r="I22" s="33">
        <f t="shared" si="6"/>
        <v>5.4285714285714288</v>
      </c>
      <c r="J22" s="211">
        <f t="shared" si="6"/>
        <v>1</v>
      </c>
      <c r="K22" s="205">
        <f t="shared" si="6"/>
        <v>2.7142857142857144</v>
      </c>
      <c r="L22" s="206"/>
      <c r="M22" s="360"/>
    </row>
    <row r="23" spans="1:19" ht="16.5" customHeight="1" x14ac:dyDescent="0.3">
      <c r="A23" s="352"/>
      <c r="B23" s="212" t="s">
        <v>144</v>
      </c>
      <c r="C23" s="110"/>
      <c r="D23" s="43">
        <v>16</v>
      </c>
      <c r="E23" s="239"/>
      <c r="F23" s="138">
        <f>C23+D23+E23</f>
        <v>16</v>
      </c>
      <c r="G23" s="117">
        <v>45971</v>
      </c>
      <c r="H23" s="37">
        <v>45972</v>
      </c>
      <c r="I23" s="37">
        <v>45980</v>
      </c>
      <c r="J23" s="201">
        <v>46020</v>
      </c>
      <c r="K23" s="201">
        <v>46044</v>
      </c>
      <c r="L23" s="202">
        <f>(K24-G23+1)/7</f>
        <v>13.428571428571429</v>
      </c>
      <c r="M23" s="357" t="s">
        <v>148</v>
      </c>
    </row>
    <row r="24" spans="1:19" ht="16.5" customHeight="1" x14ac:dyDescent="0.3">
      <c r="A24" s="352"/>
      <c r="B24" s="213"/>
      <c r="C24" s="108"/>
      <c r="D24" s="15"/>
      <c r="E24" s="14"/>
      <c r="F24" s="138"/>
      <c r="G24" s="118"/>
      <c r="H24" s="19">
        <v>45975</v>
      </c>
      <c r="I24" s="19">
        <v>46017</v>
      </c>
      <c r="J24" s="209">
        <v>46040</v>
      </c>
      <c r="K24" s="203">
        <v>46064</v>
      </c>
      <c r="L24" s="204"/>
      <c r="M24" s="355"/>
    </row>
    <row r="25" spans="1:19" ht="16.5" customHeight="1" x14ac:dyDescent="0.3">
      <c r="A25" s="352"/>
      <c r="B25" s="215"/>
      <c r="C25" s="109"/>
      <c r="D25" s="29"/>
      <c r="E25" s="28"/>
      <c r="F25" s="139"/>
      <c r="G25" s="119"/>
      <c r="H25" s="33">
        <f t="shared" ref="H25:K25" si="7">(H24-H23+1)/7</f>
        <v>0.5714285714285714</v>
      </c>
      <c r="I25" s="33">
        <f t="shared" si="7"/>
        <v>5.4285714285714288</v>
      </c>
      <c r="J25" s="211">
        <f t="shared" si="7"/>
        <v>3</v>
      </c>
      <c r="K25" s="205">
        <f t="shared" si="7"/>
        <v>3</v>
      </c>
      <c r="L25" s="206"/>
      <c r="M25" s="356"/>
    </row>
    <row r="26" spans="1:19" ht="16.5" customHeight="1" x14ac:dyDescent="0.3">
      <c r="A26" s="352"/>
      <c r="B26" s="196" t="s">
        <v>145</v>
      </c>
      <c r="C26" s="108"/>
      <c r="D26" s="15"/>
      <c r="E26" s="14">
        <v>3</v>
      </c>
      <c r="F26" s="238">
        <f>C26+D26+E26</f>
        <v>3</v>
      </c>
      <c r="G26" s="207">
        <v>46013</v>
      </c>
      <c r="H26" s="201">
        <v>46014</v>
      </c>
      <c r="I26" s="201">
        <v>46020</v>
      </c>
      <c r="J26" s="201">
        <v>46055</v>
      </c>
      <c r="K26" s="201">
        <v>46064</v>
      </c>
      <c r="L26" s="202">
        <f>(K27-G26+1)/7</f>
        <v>10.714285714285714</v>
      </c>
      <c r="M26" s="358" t="s">
        <v>149</v>
      </c>
      <c r="O26" s="26"/>
      <c r="R26" s="39"/>
    </row>
    <row r="27" spans="1:19" ht="16.5" customHeight="1" x14ac:dyDescent="0.3">
      <c r="A27" s="352"/>
      <c r="B27" s="196"/>
      <c r="C27" s="108"/>
      <c r="D27" s="15"/>
      <c r="E27" s="214"/>
      <c r="F27" s="138"/>
      <c r="G27" s="208"/>
      <c r="H27" s="209">
        <v>46017</v>
      </c>
      <c r="I27" s="209">
        <v>46052</v>
      </c>
      <c r="J27" s="209">
        <v>46061</v>
      </c>
      <c r="K27" s="203">
        <v>46087</v>
      </c>
      <c r="L27" s="204"/>
      <c r="M27" s="359"/>
    </row>
    <row r="28" spans="1:19" ht="16.5" customHeight="1" x14ac:dyDescent="0.3">
      <c r="A28" s="352"/>
      <c r="B28" s="215"/>
      <c r="C28" s="109"/>
      <c r="D28" s="29"/>
      <c r="E28" s="216"/>
      <c r="F28" s="139"/>
      <c r="G28" s="210"/>
      <c r="H28" s="205">
        <f t="shared" ref="H28:K28" si="8">(H27-H26+1)/7</f>
        <v>0.5714285714285714</v>
      </c>
      <c r="I28" s="205">
        <f t="shared" si="8"/>
        <v>4.7142857142857144</v>
      </c>
      <c r="J28" s="211">
        <f t="shared" si="8"/>
        <v>1</v>
      </c>
      <c r="K28" s="205">
        <f t="shared" si="8"/>
        <v>3.4285714285714284</v>
      </c>
      <c r="L28" s="206"/>
      <c r="M28" s="360"/>
    </row>
    <row r="29" spans="1:19" ht="16.5" customHeight="1" x14ac:dyDescent="0.3">
      <c r="A29" s="352"/>
      <c r="B29" s="196" t="s">
        <v>146</v>
      </c>
      <c r="C29" s="108">
        <v>9</v>
      </c>
      <c r="D29" s="15">
        <v>7</v>
      </c>
      <c r="E29" s="197"/>
      <c r="F29" s="138">
        <f>C29+D29+E29</f>
        <v>16</v>
      </c>
      <c r="G29" s="207">
        <v>46013</v>
      </c>
      <c r="H29" s="201">
        <v>46014</v>
      </c>
      <c r="I29" s="201">
        <v>46020</v>
      </c>
      <c r="J29" s="201">
        <v>46055</v>
      </c>
      <c r="K29" s="201">
        <v>46076</v>
      </c>
      <c r="L29" s="202">
        <f>(K30-G29+1)/7</f>
        <v>12.714285714285714</v>
      </c>
      <c r="M29" s="357" t="s">
        <v>150</v>
      </c>
    </row>
    <row r="30" spans="1:19" ht="16.5" customHeight="1" x14ac:dyDescent="0.3">
      <c r="A30" s="352"/>
      <c r="B30" s="196"/>
      <c r="C30" s="108"/>
      <c r="D30" s="15"/>
      <c r="E30" s="214"/>
      <c r="F30" s="138"/>
      <c r="G30" s="208"/>
      <c r="H30" s="209">
        <v>46017</v>
      </c>
      <c r="I30" s="209">
        <v>46052</v>
      </c>
      <c r="J30" s="209">
        <v>46075</v>
      </c>
      <c r="K30" s="203">
        <v>46101</v>
      </c>
      <c r="L30" s="204"/>
      <c r="M30" s="355"/>
    </row>
    <row r="31" spans="1:19" ht="16.5" customHeight="1" x14ac:dyDescent="0.3">
      <c r="A31" s="352"/>
      <c r="B31" s="215"/>
      <c r="C31" s="109"/>
      <c r="D31" s="29"/>
      <c r="E31" s="216"/>
      <c r="F31" s="139"/>
      <c r="G31" s="210"/>
      <c r="H31" s="205">
        <f t="shared" ref="H31:K31" si="9">(H30-H29+1)/7</f>
        <v>0.5714285714285714</v>
      </c>
      <c r="I31" s="205">
        <f t="shared" si="9"/>
        <v>4.7142857142857144</v>
      </c>
      <c r="J31" s="211">
        <f t="shared" si="9"/>
        <v>3</v>
      </c>
      <c r="K31" s="205">
        <f t="shared" si="9"/>
        <v>3.7142857142857144</v>
      </c>
      <c r="L31" s="206"/>
      <c r="M31" s="356"/>
    </row>
    <row r="32" spans="1:19" ht="16.5" customHeight="1" x14ac:dyDescent="0.3">
      <c r="A32" s="352"/>
      <c r="B32" s="13" t="s">
        <v>86</v>
      </c>
      <c r="C32" s="108"/>
      <c r="D32" s="15">
        <v>14</v>
      </c>
      <c r="E32" s="197"/>
      <c r="F32" s="138">
        <f t="shared" ref="F32" si="10">C32+D32+E32</f>
        <v>14</v>
      </c>
      <c r="G32" s="207">
        <v>46041</v>
      </c>
      <c r="H32" s="201">
        <v>46042</v>
      </c>
      <c r="I32" s="201">
        <v>46051</v>
      </c>
      <c r="J32" s="201">
        <v>46078</v>
      </c>
      <c r="K32" s="201">
        <v>46100</v>
      </c>
      <c r="L32" s="202">
        <f>(K33-G32+1)/7</f>
        <v>10.714285714285714</v>
      </c>
      <c r="M32" s="357" t="s">
        <v>151</v>
      </c>
      <c r="O32" s="26"/>
    </row>
    <row r="33" spans="1:20" ht="16.5" customHeight="1" x14ac:dyDescent="0.3">
      <c r="A33" s="352"/>
      <c r="B33" s="13"/>
      <c r="C33" s="108"/>
      <c r="D33" s="15"/>
      <c r="E33" s="214"/>
      <c r="F33" s="138"/>
      <c r="G33" s="208"/>
      <c r="H33" s="209">
        <v>46045</v>
      </c>
      <c r="I33" s="209">
        <v>46077</v>
      </c>
      <c r="J33" s="209">
        <v>46096</v>
      </c>
      <c r="K33" s="203">
        <v>46115</v>
      </c>
      <c r="L33" s="204"/>
      <c r="M33" s="355"/>
    </row>
    <row r="34" spans="1:20" ht="16.5" customHeight="1" x14ac:dyDescent="0.3">
      <c r="A34" s="352"/>
      <c r="B34" s="217"/>
      <c r="C34" s="109"/>
      <c r="D34" s="29"/>
      <c r="E34" s="216"/>
      <c r="F34" s="139"/>
      <c r="G34" s="210"/>
      <c r="H34" s="205">
        <f t="shared" ref="H34:K34" si="11">(H33-H32+1)/7</f>
        <v>0.5714285714285714</v>
      </c>
      <c r="I34" s="205">
        <f t="shared" si="11"/>
        <v>3.8571428571428572</v>
      </c>
      <c r="J34" s="211">
        <f t="shared" si="11"/>
        <v>2.7142857142857144</v>
      </c>
      <c r="K34" s="205">
        <f t="shared" si="11"/>
        <v>2.2857142857142856</v>
      </c>
      <c r="L34" s="206"/>
      <c r="M34" s="356"/>
    </row>
    <row r="35" spans="1:20" ht="16.5" customHeight="1" x14ac:dyDescent="0.3">
      <c r="A35" s="352"/>
      <c r="B35" s="13" t="s">
        <v>87</v>
      </c>
      <c r="C35" s="108"/>
      <c r="D35" s="15">
        <v>18</v>
      </c>
      <c r="E35" s="14"/>
      <c r="F35" s="138">
        <f t="shared" ref="F35" si="12">C35+D35+E35</f>
        <v>18</v>
      </c>
      <c r="G35" s="207">
        <v>46062</v>
      </c>
      <c r="H35" s="201">
        <v>46063</v>
      </c>
      <c r="I35" s="201">
        <v>46076</v>
      </c>
      <c r="J35" s="201">
        <v>45746</v>
      </c>
      <c r="K35" s="201">
        <v>46118</v>
      </c>
      <c r="L35" s="202">
        <f>(K36-G35+1)/7</f>
        <v>10.714285714285714</v>
      </c>
      <c r="M35" s="357" t="s">
        <v>152</v>
      </c>
    </row>
    <row r="36" spans="1:20" ht="16.5" customHeight="1" x14ac:dyDescent="0.3">
      <c r="A36" s="352"/>
      <c r="B36" s="13"/>
      <c r="C36" s="108"/>
      <c r="D36" s="15"/>
      <c r="E36" s="14"/>
      <c r="F36" s="138"/>
      <c r="G36" s="208"/>
      <c r="H36" s="209">
        <v>46066</v>
      </c>
      <c r="I36" s="209">
        <v>46108</v>
      </c>
      <c r="J36" s="209">
        <v>45752</v>
      </c>
      <c r="K36" s="203">
        <v>46136</v>
      </c>
      <c r="L36" s="204"/>
      <c r="M36" s="355"/>
    </row>
    <row r="37" spans="1:20" ht="16.5" customHeight="1" x14ac:dyDescent="0.3">
      <c r="A37" s="352"/>
      <c r="B37" s="217"/>
      <c r="C37" s="109"/>
      <c r="D37" s="29"/>
      <c r="E37" s="28"/>
      <c r="F37" s="139"/>
      <c r="G37" s="210"/>
      <c r="H37" s="205">
        <f t="shared" ref="H37:J37" si="13">(H36-H35+1)/7</f>
        <v>0.5714285714285714</v>
      </c>
      <c r="I37" s="205">
        <f t="shared" si="13"/>
        <v>4.7142857142857144</v>
      </c>
      <c r="J37" s="211">
        <f t="shared" si="13"/>
        <v>1</v>
      </c>
      <c r="K37" s="205">
        <f t="shared" ref="K37" si="14">(K36-K35+1)/7</f>
        <v>2.7142857142857144</v>
      </c>
      <c r="L37" s="206"/>
      <c r="M37" s="356"/>
    </row>
    <row r="38" spans="1:20" ht="16.5" customHeight="1" x14ac:dyDescent="0.3">
      <c r="A38" s="352"/>
      <c r="B38" s="13" t="s">
        <v>88</v>
      </c>
      <c r="C38" s="108"/>
      <c r="D38" s="15">
        <v>19</v>
      </c>
      <c r="E38" s="14"/>
      <c r="F38" s="138">
        <f t="shared" ref="F38" si="15">C38+D38+E38</f>
        <v>19</v>
      </c>
      <c r="G38" s="207">
        <v>46104</v>
      </c>
      <c r="H38" s="201">
        <v>46105</v>
      </c>
      <c r="I38" s="201">
        <v>46111</v>
      </c>
      <c r="J38" s="209"/>
      <c r="K38" s="201">
        <v>46146</v>
      </c>
      <c r="L38" s="202">
        <f>(K39-G38+1)/7</f>
        <v>9.7142857142857135</v>
      </c>
      <c r="M38" s="365" t="s">
        <v>153</v>
      </c>
      <c r="O38" s="26"/>
    </row>
    <row r="39" spans="1:20" ht="16.5" customHeight="1" x14ac:dyDescent="0.3">
      <c r="A39" s="352"/>
      <c r="B39" s="13"/>
      <c r="C39" s="108"/>
      <c r="D39" s="15"/>
      <c r="E39" s="14"/>
      <c r="F39" s="138"/>
      <c r="G39" s="208"/>
      <c r="H39" s="209">
        <v>46108</v>
      </c>
      <c r="I39" s="209">
        <v>46142</v>
      </c>
      <c r="J39" s="209"/>
      <c r="K39" s="203">
        <v>46171</v>
      </c>
      <c r="L39" s="204"/>
      <c r="M39" s="366"/>
    </row>
    <row r="40" spans="1:20" ht="16.5" customHeight="1" thickBot="1" x14ac:dyDescent="0.35">
      <c r="A40" s="353"/>
      <c r="B40" s="47"/>
      <c r="C40" s="111"/>
      <c r="D40" s="49"/>
      <c r="E40" s="48"/>
      <c r="F40" s="105"/>
      <c r="G40" s="218"/>
      <c r="H40" s="219">
        <f t="shared" ref="H40:I40" si="16">(H39-H38+1)/7</f>
        <v>0.5714285714285714</v>
      </c>
      <c r="I40" s="219">
        <f t="shared" si="16"/>
        <v>4.5714285714285712</v>
      </c>
      <c r="J40" s="220"/>
      <c r="K40" s="219">
        <f t="shared" ref="K40" si="17">(K39-K38+1)/7</f>
        <v>3.7142857142857144</v>
      </c>
      <c r="L40" s="221"/>
      <c r="M40" s="367"/>
      <c r="Q40" s="39"/>
    </row>
    <row r="41" spans="1:20" ht="24" customHeight="1" thickBot="1" x14ac:dyDescent="0.35">
      <c r="A41" s="348" t="s">
        <v>10</v>
      </c>
      <c r="B41" s="349"/>
      <c r="C41" s="222">
        <f>SUM(C14:C40)</f>
        <v>25</v>
      </c>
      <c r="D41" s="223">
        <f>SUM(D14:D40)</f>
        <v>74</v>
      </c>
      <c r="E41" s="224">
        <f>SUM(E14:E40)</f>
        <v>16</v>
      </c>
      <c r="F41" s="225">
        <f>SUM(C41:E41)</f>
        <v>115</v>
      </c>
      <c r="G41" s="459" t="s">
        <v>42</v>
      </c>
      <c r="H41" s="451"/>
      <c r="I41" s="451"/>
      <c r="J41" s="451"/>
      <c r="K41" s="452"/>
      <c r="L41" s="226">
        <f>AVERAGE(L14:L40)</f>
        <v>11.666666666666664</v>
      </c>
      <c r="M41" s="227" t="s">
        <v>41</v>
      </c>
      <c r="O41" s="350" t="s">
        <v>43</v>
      </c>
      <c r="P41" s="350"/>
    </row>
    <row r="42" spans="1:20" ht="15" customHeight="1" x14ac:dyDescent="0.3">
      <c r="A42" s="351" t="s">
        <v>128</v>
      </c>
      <c r="B42" s="63" t="s">
        <v>129</v>
      </c>
      <c r="C42" s="191">
        <v>16</v>
      </c>
      <c r="D42" s="65"/>
      <c r="E42" s="64">
        <v>8</v>
      </c>
      <c r="F42" s="138">
        <f>C42+D42+E42</f>
        <v>24</v>
      </c>
      <c r="G42" s="240">
        <v>46146</v>
      </c>
      <c r="H42" s="241">
        <v>45783</v>
      </c>
      <c r="I42" s="241">
        <v>46153</v>
      </c>
      <c r="J42" s="241">
        <v>46181</v>
      </c>
      <c r="K42" s="241">
        <v>46188</v>
      </c>
      <c r="L42" s="242">
        <f>(K43-G42+1)/7</f>
        <v>11.428571428571429</v>
      </c>
      <c r="M42" s="357" t="s">
        <v>154</v>
      </c>
      <c r="N42" s="71"/>
      <c r="O42" s="5" t="s">
        <v>47</v>
      </c>
      <c r="P42" s="72" t="e">
        <f>AVERAGE(H44,H47,H50,H53,H56,H71,#REF!,#REF!,#REF!,#REF!)</f>
        <v>#REF!</v>
      </c>
      <c r="Q42" s="5">
        <v>1</v>
      </c>
      <c r="R42" s="39"/>
    </row>
    <row r="43" spans="1:20" ht="15" customHeight="1" x14ac:dyDescent="0.3">
      <c r="A43" s="352"/>
      <c r="B43" s="13"/>
      <c r="C43" s="108"/>
      <c r="D43" s="15"/>
      <c r="E43" s="14"/>
      <c r="F43" s="138"/>
      <c r="G43" s="208"/>
      <c r="H43" s="209">
        <v>45785</v>
      </c>
      <c r="I43" s="209">
        <v>46182</v>
      </c>
      <c r="J43" s="209">
        <v>46187</v>
      </c>
      <c r="K43" s="203">
        <v>46225</v>
      </c>
      <c r="L43" s="204"/>
      <c r="M43" s="355"/>
      <c r="N43" s="71"/>
      <c r="O43" s="5" t="s">
        <v>48</v>
      </c>
      <c r="P43" s="72" t="e">
        <f>AVERAGE(I44,I47,I50,I53,I56,I71,#REF!,#REF!,#REF!,#REF!)</f>
        <v>#REF!</v>
      </c>
      <c r="Q43" s="5">
        <v>6</v>
      </c>
    </row>
    <row r="44" spans="1:20" ht="15" customHeight="1" x14ac:dyDescent="0.3">
      <c r="A44" s="352"/>
      <c r="B44" s="27"/>
      <c r="C44" s="109"/>
      <c r="D44" s="29"/>
      <c r="E44" s="28"/>
      <c r="F44" s="139"/>
      <c r="G44" s="210"/>
      <c r="H44" s="205">
        <f t="shared" ref="H44" si="18">(H43-H42+1)/7</f>
        <v>0.42857142857142855</v>
      </c>
      <c r="I44" s="205">
        <f>(I43-I42+1)/7</f>
        <v>4.2857142857142856</v>
      </c>
      <c r="J44" s="205">
        <f t="shared" ref="J44" si="19">(J43-J42+1)/7</f>
        <v>1</v>
      </c>
      <c r="K44" s="205">
        <f>(K43-K42+1)/7</f>
        <v>5.4285714285714288</v>
      </c>
      <c r="L44" s="206"/>
      <c r="M44" s="356"/>
      <c r="N44" s="71"/>
      <c r="O44" s="5" t="s">
        <v>49</v>
      </c>
      <c r="P44" s="72" t="e">
        <f>AVERAGE(K44,K47,K50,K53,K56,K71,#REF!,#REF!,#REF!,#REF!)</f>
        <v>#REF!</v>
      </c>
      <c r="Q44" s="5">
        <v>5</v>
      </c>
      <c r="R44" s="39"/>
    </row>
    <row r="45" spans="1:20" ht="15" customHeight="1" x14ac:dyDescent="0.3">
      <c r="A45" s="352"/>
      <c r="B45" s="13" t="s">
        <v>130</v>
      </c>
      <c r="C45" s="108">
        <v>16</v>
      </c>
      <c r="D45" s="15"/>
      <c r="E45" s="14">
        <v>8</v>
      </c>
      <c r="F45" s="138">
        <f t="shared" ref="F45" si="20">C45+D45+E45</f>
        <v>24</v>
      </c>
      <c r="G45" s="243">
        <v>46181</v>
      </c>
      <c r="H45" s="209">
        <v>46182</v>
      </c>
      <c r="I45" s="201">
        <v>46188</v>
      </c>
      <c r="J45" s="201">
        <v>46216</v>
      </c>
      <c r="K45" s="201">
        <v>46226</v>
      </c>
      <c r="L45" s="204">
        <f>(K46-G45+1)/7</f>
        <v>11.142857142857142</v>
      </c>
      <c r="M45" s="357" t="s">
        <v>155</v>
      </c>
      <c r="P45" s="76"/>
      <c r="Q45" s="39"/>
    </row>
    <row r="46" spans="1:20" ht="15" customHeight="1" x14ac:dyDescent="0.3">
      <c r="A46" s="352"/>
      <c r="B46" s="13"/>
      <c r="C46" s="108"/>
      <c r="D46" s="15"/>
      <c r="E46" s="14"/>
      <c r="F46" s="138"/>
      <c r="G46" s="208"/>
      <c r="H46" s="209">
        <v>46185</v>
      </c>
      <c r="I46" s="209">
        <v>46215</v>
      </c>
      <c r="J46" s="209">
        <v>46222</v>
      </c>
      <c r="K46" s="203">
        <v>46258</v>
      </c>
      <c r="L46" s="204"/>
      <c r="M46" s="355"/>
    </row>
    <row r="47" spans="1:20" ht="15" customHeight="1" x14ac:dyDescent="0.3">
      <c r="A47" s="352"/>
      <c r="B47" s="27"/>
      <c r="C47" s="109"/>
      <c r="D47" s="29"/>
      <c r="E47" s="28"/>
      <c r="F47" s="139"/>
      <c r="G47" s="210"/>
      <c r="H47" s="205">
        <f t="shared" ref="H47:K47" si="21">(H46-H45+1)/7</f>
        <v>0.5714285714285714</v>
      </c>
      <c r="I47" s="205">
        <f t="shared" si="21"/>
        <v>4</v>
      </c>
      <c r="J47" s="205">
        <f t="shared" si="21"/>
        <v>1</v>
      </c>
      <c r="K47" s="205">
        <f t="shared" si="21"/>
        <v>4.7142857142857144</v>
      </c>
      <c r="L47" s="206"/>
      <c r="M47" s="356"/>
      <c r="P47" s="39"/>
      <c r="R47" s="39"/>
    </row>
    <row r="48" spans="1:20" ht="15" customHeight="1" x14ac:dyDescent="0.3">
      <c r="A48" s="352"/>
      <c r="B48" s="13" t="s">
        <v>131</v>
      </c>
      <c r="C48" s="108">
        <v>16</v>
      </c>
      <c r="D48" s="15"/>
      <c r="E48" s="14">
        <v>8</v>
      </c>
      <c r="F48" s="138">
        <f t="shared" ref="F48" si="22">C48+D48+E48</f>
        <v>24</v>
      </c>
      <c r="G48" s="243">
        <v>46209</v>
      </c>
      <c r="H48" s="209">
        <v>46210</v>
      </c>
      <c r="I48" s="201">
        <v>46216</v>
      </c>
      <c r="J48" s="201">
        <v>46251</v>
      </c>
      <c r="K48" s="201">
        <v>46259</v>
      </c>
      <c r="L48" s="204">
        <f t="shared" ref="L48" si="23">(K49-G48+1)/7</f>
        <v>11.714285714285714</v>
      </c>
      <c r="M48" s="357" t="s">
        <v>156</v>
      </c>
      <c r="O48" s="39"/>
      <c r="T48" s="39"/>
    </row>
    <row r="49" spans="1:19" ht="15" customHeight="1" x14ac:dyDescent="0.3">
      <c r="A49" s="352"/>
      <c r="B49" s="13"/>
      <c r="C49" s="108"/>
      <c r="D49" s="15"/>
      <c r="E49" s="14"/>
      <c r="F49" s="138"/>
      <c r="G49" s="208"/>
      <c r="H49" s="209">
        <v>46213</v>
      </c>
      <c r="I49" s="209">
        <v>46246</v>
      </c>
      <c r="J49" s="209">
        <v>46257</v>
      </c>
      <c r="K49" s="203">
        <v>46290</v>
      </c>
      <c r="L49" s="204"/>
      <c r="M49" s="355"/>
      <c r="O49" s="77"/>
      <c r="Q49" s="77"/>
      <c r="R49" s="77"/>
    </row>
    <row r="50" spans="1:19" ht="15" customHeight="1" x14ac:dyDescent="0.3">
      <c r="A50" s="352"/>
      <c r="B50" s="27"/>
      <c r="C50" s="109"/>
      <c r="D50" s="29"/>
      <c r="E50" s="28"/>
      <c r="F50" s="139"/>
      <c r="G50" s="210"/>
      <c r="H50" s="205">
        <f t="shared" ref="H50:J50" si="24">(H49-H48+1)/7</f>
        <v>0.5714285714285714</v>
      </c>
      <c r="I50" s="205">
        <f t="shared" si="24"/>
        <v>4.4285714285714288</v>
      </c>
      <c r="J50" s="205">
        <f t="shared" si="24"/>
        <v>1</v>
      </c>
      <c r="K50" s="205">
        <f t="shared" ref="K50" si="25">(K49-K48+1)/7</f>
        <v>4.5714285714285712</v>
      </c>
      <c r="L50" s="206"/>
      <c r="M50" s="356"/>
      <c r="O50" s="77">
        <v>11.1</v>
      </c>
      <c r="P50" s="77">
        <v>15.1</v>
      </c>
      <c r="Q50" s="77">
        <f t="shared" ref="Q50:Q55" si="26">O50-P50</f>
        <v>-4</v>
      </c>
      <c r="R50" s="77"/>
    </row>
    <row r="51" spans="1:19" ht="15" customHeight="1" x14ac:dyDescent="0.3">
      <c r="A51" s="352"/>
      <c r="B51" s="13" t="s">
        <v>132</v>
      </c>
      <c r="C51" s="108">
        <v>16</v>
      </c>
      <c r="D51" s="15"/>
      <c r="E51" s="14">
        <v>8</v>
      </c>
      <c r="F51" s="138">
        <f t="shared" ref="F51" si="27">C51+D51+E51</f>
        <v>24</v>
      </c>
      <c r="G51" s="243">
        <v>46237</v>
      </c>
      <c r="H51" s="209">
        <v>46238</v>
      </c>
      <c r="I51" s="201">
        <v>46245</v>
      </c>
      <c r="J51" s="201">
        <v>46279</v>
      </c>
      <c r="K51" s="201">
        <v>46293</v>
      </c>
      <c r="L51" s="204">
        <f>(K52-G51+1)/7</f>
        <v>12.857142857142858</v>
      </c>
      <c r="M51" s="357" t="s">
        <v>157</v>
      </c>
      <c r="O51" s="77">
        <v>10.7</v>
      </c>
      <c r="P51" s="77">
        <v>15.1</v>
      </c>
      <c r="Q51" s="77">
        <f t="shared" si="26"/>
        <v>-4.4000000000000004</v>
      </c>
      <c r="R51" s="77"/>
    </row>
    <row r="52" spans="1:19" ht="15" customHeight="1" x14ac:dyDescent="0.3">
      <c r="A52" s="352"/>
      <c r="B52" s="13"/>
      <c r="C52" s="108"/>
      <c r="D52" s="15"/>
      <c r="E52" s="14"/>
      <c r="F52" s="138"/>
      <c r="G52" s="208"/>
      <c r="H52" s="209">
        <v>46241</v>
      </c>
      <c r="I52" s="209">
        <v>46273</v>
      </c>
      <c r="J52" s="209">
        <v>46292</v>
      </c>
      <c r="K52" s="203">
        <v>46326</v>
      </c>
      <c r="L52" s="204"/>
      <c r="M52" s="355"/>
      <c r="O52" s="77">
        <v>10.3</v>
      </c>
      <c r="P52" s="77">
        <v>14.7</v>
      </c>
      <c r="Q52" s="77">
        <f t="shared" si="26"/>
        <v>-4.3999999999999986</v>
      </c>
      <c r="R52" s="77"/>
    </row>
    <row r="53" spans="1:19" ht="15" customHeight="1" x14ac:dyDescent="0.3">
      <c r="A53" s="352"/>
      <c r="B53" s="27"/>
      <c r="C53" s="109"/>
      <c r="D53" s="29"/>
      <c r="E53" s="28"/>
      <c r="F53" s="139"/>
      <c r="G53" s="210"/>
      <c r="H53" s="205">
        <f t="shared" ref="H53:J53" si="28">(H52-H51+1)/7</f>
        <v>0.5714285714285714</v>
      </c>
      <c r="I53" s="205">
        <f t="shared" si="28"/>
        <v>4.1428571428571432</v>
      </c>
      <c r="J53" s="205">
        <f t="shared" si="28"/>
        <v>2</v>
      </c>
      <c r="K53" s="205">
        <f t="shared" ref="K53" si="29">(K52-K51+1)/7</f>
        <v>4.8571428571428568</v>
      </c>
      <c r="L53" s="206"/>
      <c r="M53" s="356"/>
      <c r="O53" s="77">
        <v>7.7</v>
      </c>
      <c r="P53" s="77">
        <v>10.7</v>
      </c>
      <c r="Q53" s="77">
        <f t="shared" si="26"/>
        <v>-2.9999999999999991</v>
      </c>
      <c r="R53" s="77"/>
    </row>
    <row r="54" spans="1:19" ht="15" customHeight="1" x14ac:dyDescent="0.3">
      <c r="A54" s="352"/>
      <c r="B54" s="13" t="s">
        <v>133</v>
      </c>
      <c r="C54" s="108">
        <v>16</v>
      </c>
      <c r="D54" s="15"/>
      <c r="E54" s="14">
        <v>8</v>
      </c>
      <c r="F54" s="138">
        <f t="shared" ref="F54" si="30">C54+D54+E54</f>
        <v>24</v>
      </c>
      <c r="G54" s="243">
        <v>46279</v>
      </c>
      <c r="H54" s="209">
        <v>46280</v>
      </c>
      <c r="I54" s="201">
        <v>46286</v>
      </c>
      <c r="J54" s="228"/>
      <c r="K54" s="201">
        <v>46328</v>
      </c>
      <c r="L54" s="204">
        <f t="shared" ref="L54" si="31">(K55-G54+1)/7</f>
        <v>11</v>
      </c>
      <c r="M54" s="357" t="s">
        <v>158</v>
      </c>
      <c r="O54" s="77">
        <v>9.6999999999999993</v>
      </c>
      <c r="P54" s="77">
        <v>9.6999999999999993</v>
      </c>
      <c r="Q54" s="77">
        <f t="shared" si="26"/>
        <v>0</v>
      </c>
      <c r="R54" s="77"/>
    </row>
    <row r="55" spans="1:19" ht="15" customHeight="1" x14ac:dyDescent="0.3">
      <c r="A55" s="352"/>
      <c r="B55" s="13"/>
      <c r="C55" s="108"/>
      <c r="D55" s="15"/>
      <c r="E55" s="14"/>
      <c r="F55" s="138"/>
      <c r="G55" s="208"/>
      <c r="H55" s="209">
        <v>46283</v>
      </c>
      <c r="I55" s="209">
        <v>46325</v>
      </c>
      <c r="J55" s="229"/>
      <c r="K55" s="203">
        <v>46355</v>
      </c>
      <c r="L55" s="231"/>
      <c r="M55" s="355"/>
      <c r="O55" s="77">
        <v>9.6</v>
      </c>
      <c r="P55" s="77">
        <v>9.6</v>
      </c>
      <c r="Q55" s="77">
        <f t="shared" si="26"/>
        <v>0</v>
      </c>
      <c r="R55" s="77"/>
      <c r="S55" s="72"/>
    </row>
    <row r="56" spans="1:19" ht="15" customHeight="1" x14ac:dyDescent="0.3">
      <c r="A56" s="352"/>
      <c r="B56" s="27"/>
      <c r="C56" s="109"/>
      <c r="D56" s="29"/>
      <c r="E56" s="28"/>
      <c r="F56" s="139"/>
      <c r="G56" s="210"/>
      <c r="H56" s="205">
        <f t="shared" ref="H56:I56" si="32">(H55-H54+1)/7</f>
        <v>0.5714285714285714</v>
      </c>
      <c r="I56" s="205">
        <f t="shared" si="32"/>
        <v>5.7142857142857144</v>
      </c>
      <c r="J56" s="232"/>
      <c r="K56" s="205">
        <f t="shared" ref="K56" si="33">(K55-K54+1)/7</f>
        <v>4</v>
      </c>
      <c r="L56" s="234"/>
      <c r="M56" s="356"/>
      <c r="O56" s="77"/>
      <c r="P56" s="77"/>
      <c r="Q56" s="77"/>
      <c r="R56" s="77"/>
    </row>
    <row r="57" spans="1:19" ht="15" customHeight="1" x14ac:dyDescent="0.3">
      <c r="A57" s="352"/>
      <c r="B57" s="13" t="s">
        <v>134</v>
      </c>
      <c r="C57" s="108">
        <v>16</v>
      </c>
      <c r="D57" s="15"/>
      <c r="E57" s="14">
        <v>8</v>
      </c>
      <c r="F57" s="138">
        <f>C57+D57+E57</f>
        <v>24</v>
      </c>
      <c r="G57" s="243">
        <v>46321</v>
      </c>
      <c r="H57" s="209">
        <v>46322</v>
      </c>
      <c r="I57" s="201">
        <v>46328</v>
      </c>
      <c r="J57" s="228"/>
      <c r="K57" s="201">
        <v>46356</v>
      </c>
      <c r="L57" s="204">
        <f t="shared" ref="L57" si="34">(K58-G57+1)/7</f>
        <v>10.714285714285714</v>
      </c>
      <c r="M57" s="357" t="s">
        <v>159</v>
      </c>
      <c r="O57" s="77"/>
      <c r="P57" s="77"/>
      <c r="Q57" s="77"/>
      <c r="R57" s="77"/>
    </row>
    <row r="58" spans="1:19" ht="15" customHeight="1" x14ac:dyDescent="0.3">
      <c r="A58" s="352"/>
      <c r="B58" s="13"/>
      <c r="C58" s="108"/>
      <c r="D58" s="15"/>
      <c r="E58" s="14"/>
      <c r="F58" s="138"/>
      <c r="G58" s="208"/>
      <c r="H58" s="209">
        <v>46325</v>
      </c>
      <c r="I58" s="209">
        <v>46355</v>
      </c>
      <c r="J58" s="229"/>
      <c r="K58" s="203">
        <v>46395</v>
      </c>
      <c r="L58" s="204"/>
      <c r="M58" s="355"/>
      <c r="O58" s="77"/>
      <c r="P58" s="77"/>
      <c r="Q58" s="77"/>
      <c r="R58" s="77"/>
    </row>
    <row r="59" spans="1:19" ht="15" customHeight="1" x14ac:dyDescent="0.3">
      <c r="A59" s="352"/>
      <c r="B59" s="27"/>
      <c r="C59" s="109"/>
      <c r="D59" s="29"/>
      <c r="E59" s="28"/>
      <c r="F59" s="139"/>
      <c r="G59" s="210"/>
      <c r="H59" s="205">
        <f t="shared" ref="H59:I59" si="35">(H58-H57+1)/7</f>
        <v>0.5714285714285714</v>
      </c>
      <c r="I59" s="205">
        <f t="shared" si="35"/>
        <v>4</v>
      </c>
      <c r="J59" s="232"/>
      <c r="K59" s="205">
        <f t="shared" ref="K59" si="36">(K58-K57+1)/7</f>
        <v>5.7142857142857144</v>
      </c>
      <c r="L59" s="206"/>
      <c r="M59" s="356"/>
      <c r="O59" s="77"/>
      <c r="P59" s="77"/>
      <c r="Q59" s="77"/>
      <c r="R59" s="77"/>
    </row>
    <row r="60" spans="1:19" ht="15" customHeight="1" x14ac:dyDescent="0.3">
      <c r="A60" s="352"/>
      <c r="B60" s="13" t="s">
        <v>135</v>
      </c>
      <c r="C60" s="108">
        <v>16</v>
      </c>
      <c r="D60" s="15"/>
      <c r="E60" s="14">
        <v>8</v>
      </c>
      <c r="F60" s="138">
        <f>C60+D60+E60</f>
        <v>24</v>
      </c>
      <c r="G60" s="243">
        <v>46356</v>
      </c>
      <c r="H60" s="209">
        <v>46357</v>
      </c>
      <c r="I60" s="201">
        <v>46363</v>
      </c>
      <c r="J60" s="228"/>
      <c r="K60" s="228"/>
      <c r="L60" s="231"/>
      <c r="M60" s="361"/>
      <c r="O60" s="77"/>
      <c r="P60" s="77"/>
      <c r="Q60" s="77"/>
      <c r="R60" s="77"/>
    </row>
    <row r="61" spans="1:19" ht="15" customHeight="1" x14ac:dyDescent="0.3">
      <c r="A61" s="352"/>
      <c r="B61" s="13"/>
      <c r="C61" s="108"/>
      <c r="D61" s="15"/>
      <c r="E61" s="14"/>
      <c r="F61" s="138"/>
      <c r="G61" s="208"/>
      <c r="H61" s="209">
        <v>46360</v>
      </c>
      <c r="I61" s="209">
        <v>46395</v>
      </c>
      <c r="J61" s="229"/>
      <c r="K61" s="230"/>
      <c r="L61" s="231"/>
      <c r="M61" s="362"/>
      <c r="O61" s="77"/>
      <c r="P61" s="77"/>
      <c r="Q61" s="77"/>
      <c r="R61" s="77"/>
    </row>
    <row r="62" spans="1:19" ht="15" customHeight="1" x14ac:dyDescent="0.3">
      <c r="A62" s="352"/>
      <c r="B62" s="27"/>
      <c r="C62" s="109"/>
      <c r="D62" s="29"/>
      <c r="E62" s="28"/>
      <c r="F62" s="139"/>
      <c r="G62" s="210"/>
      <c r="H62" s="205">
        <f t="shared" ref="H62:I62" si="37">(H61-H60+1)/7</f>
        <v>0.5714285714285714</v>
      </c>
      <c r="I62" s="205">
        <f t="shared" si="37"/>
        <v>4.7142857142857144</v>
      </c>
      <c r="J62" s="232"/>
      <c r="K62" s="233"/>
      <c r="L62" s="234"/>
      <c r="M62" s="363"/>
      <c r="O62" s="77"/>
      <c r="P62" s="77"/>
      <c r="Q62" s="77"/>
      <c r="R62" s="77"/>
    </row>
    <row r="63" spans="1:19" ht="15" customHeight="1" x14ac:dyDescent="0.3">
      <c r="A63" s="352"/>
      <c r="B63" s="13" t="s">
        <v>136</v>
      </c>
      <c r="C63" s="108">
        <v>16</v>
      </c>
      <c r="D63" s="15"/>
      <c r="E63" s="14">
        <v>8</v>
      </c>
      <c r="F63" s="138">
        <f t="shared" ref="F63" si="38">C63+D63+E63</f>
        <v>24</v>
      </c>
      <c r="G63" s="243">
        <v>46398</v>
      </c>
      <c r="H63" s="229"/>
      <c r="I63" s="228"/>
      <c r="J63" s="228"/>
      <c r="K63" s="228"/>
      <c r="L63" s="231"/>
      <c r="M63" s="361"/>
      <c r="O63" s="77"/>
      <c r="P63" s="77"/>
      <c r="Q63" s="77"/>
      <c r="R63" s="77"/>
    </row>
    <row r="64" spans="1:19" ht="15" customHeight="1" x14ac:dyDescent="0.3">
      <c r="A64" s="352"/>
      <c r="B64" s="13"/>
      <c r="C64" s="108"/>
      <c r="D64" s="15"/>
      <c r="E64" s="14"/>
      <c r="F64" s="138"/>
      <c r="G64" s="208"/>
      <c r="H64" s="229"/>
      <c r="I64" s="229"/>
      <c r="J64" s="229"/>
      <c r="K64" s="230"/>
      <c r="L64" s="231"/>
      <c r="M64" s="362"/>
      <c r="O64" s="77"/>
      <c r="P64" s="77"/>
      <c r="Q64" s="77"/>
      <c r="R64" s="77"/>
    </row>
    <row r="65" spans="1:18" ht="15" customHeight="1" x14ac:dyDescent="0.3">
      <c r="A65" s="352"/>
      <c r="B65" s="27"/>
      <c r="C65" s="109"/>
      <c r="D65" s="29"/>
      <c r="E65" s="28"/>
      <c r="F65" s="139"/>
      <c r="G65" s="210"/>
      <c r="H65" s="233"/>
      <c r="I65" s="233"/>
      <c r="J65" s="232"/>
      <c r="K65" s="233"/>
      <c r="L65" s="234"/>
      <c r="M65" s="363"/>
      <c r="O65" s="77"/>
      <c r="P65" s="77"/>
      <c r="Q65" s="77"/>
      <c r="R65" s="77"/>
    </row>
    <row r="66" spans="1:18" ht="15" customHeight="1" x14ac:dyDescent="0.3">
      <c r="A66" s="352"/>
      <c r="B66" s="13" t="s">
        <v>137</v>
      </c>
      <c r="C66" s="108">
        <v>16</v>
      </c>
      <c r="D66" s="15"/>
      <c r="E66" s="14">
        <v>8</v>
      </c>
      <c r="F66" s="138">
        <f t="shared" ref="F66" si="39">C66+D66+E66</f>
        <v>24</v>
      </c>
      <c r="G66" s="243">
        <v>46428</v>
      </c>
      <c r="H66" s="229"/>
      <c r="I66" s="228"/>
      <c r="J66" s="228"/>
      <c r="K66" s="228"/>
      <c r="L66" s="231"/>
      <c r="M66" s="361"/>
      <c r="O66" s="77"/>
      <c r="P66" s="77"/>
      <c r="Q66" s="77"/>
      <c r="R66" s="77"/>
    </row>
    <row r="67" spans="1:18" ht="15" customHeight="1" x14ac:dyDescent="0.3">
      <c r="A67" s="352"/>
      <c r="B67" s="13"/>
      <c r="C67" s="108"/>
      <c r="D67" s="15"/>
      <c r="E67" s="14"/>
      <c r="F67" s="138"/>
      <c r="G67" s="208"/>
      <c r="H67" s="229"/>
      <c r="I67" s="229"/>
      <c r="J67" s="229"/>
      <c r="K67" s="230"/>
      <c r="L67" s="231"/>
      <c r="M67" s="362"/>
      <c r="O67" s="77"/>
      <c r="P67" s="77"/>
      <c r="Q67" s="77"/>
      <c r="R67" s="77"/>
    </row>
    <row r="68" spans="1:18" ht="15" customHeight="1" x14ac:dyDescent="0.3">
      <c r="A68" s="352"/>
      <c r="B68" s="27"/>
      <c r="C68" s="109"/>
      <c r="D68" s="29"/>
      <c r="E68" s="28"/>
      <c r="F68" s="139"/>
      <c r="G68" s="210"/>
      <c r="H68" s="233"/>
      <c r="I68" s="233"/>
      <c r="J68" s="232"/>
      <c r="K68" s="233"/>
      <c r="L68" s="234"/>
      <c r="M68" s="363"/>
      <c r="O68" s="77"/>
      <c r="P68" s="77"/>
      <c r="Q68" s="77"/>
      <c r="R68" s="77"/>
    </row>
    <row r="69" spans="1:18" ht="15" customHeight="1" x14ac:dyDescent="0.3">
      <c r="A69" s="352"/>
      <c r="B69" s="13" t="s">
        <v>138</v>
      </c>
      <c r="C69" s="108">
        <v>16</v>
      </c>
      <c r="D69" s="15"/>
      <c r="E69" s="14">
        <v>8</v>
      </c>
      <c r="F69" s="138">
        <f t="shared" ref="F69" si="40">C69+D69+E69</f>
        <v>24</v>
      </c>
      <c r="G69" s="243">
        <v>46454</v>
      </c>
      <c r="H69" s="229"/>
      <c r="I69" s="228"/>
      <c r="J69" s="228"/>
      <c r="K69" s="228"/>
      <c r="L69" s="231"/>
      <c r="M69" s="361"/>
      <c r="O69" s="77"/>
      <c r="P69" s="77"/>
      <c r="Q69" s="77"/>
      <c r="R69" s="77"/>
    </row>
    <row r="70" spans="1:18" ht="15" customHeight="1" x14ac:dyDescent="0.3">
      <c r="A70" s="352"/>
      <c r="B70" s="13"/>
      <c r="C70" s="108"/>
      <c r="D70" s="15"/>
      <c r="E70" s="14"/>
      <c r="F70" s="138"/>
      <c r="G70" s="208"/>
      <c r="H70" s="229"/>
      <c r="I70" s="229"/>
      <c r="J70" s="229"/>
      <c r="K70" s="230"/>
      <c r="L70" s="231"/>
      <c r="M70" s="362"/>
      <c r="O70" s="77"/>
      <c r="P70" s="77"/>
      <c r="Q70" s="77"/>
      <c r="R70" s="77"/>
    </row>
    <row r="71" spans="1:18" ht="15" customHeight="1" thickBot="1" x14ac:dyDescent="0.35">
      <c r="A71" s="353"/>
      <c r="B71" s="199"/>
      <c r="C71" s="111"/>
      <c r="D71" s="49"/>
      <c r="E71" s="48"/>
      <c r="F71" s="105"/>
      <c r="G71" s="218"/>
      <c r="H71" s="236"/>
      <c r="I71" s="236"/>
      <c r="J71" s="235"/>
      <c r="K71" s="236"/>
      <c r="L71" s="237"/>
      <c r="M71" s="364"/>
      <c r="O71" s="77"/>
      <c r="P71" s="77"/>
      <c r="Q71" s="77"/>
      <c r="R71" s="77"/>
    </row>
    <row r="72" spans="1:18" ht="24" customHeight="1" thickBot="1" x14ac:dyDescent="0.35">
      <c r="A72" s="343" t="s">
        <v>10</v>
      </c>
      <c r="B72" s="344"/>
      <c r="C72" s="200">
        <f>SUM(C42:C71)</f>
        <v>160</v>
      </c>
      <c r="D72" s="58">
        <f t="shared" ref="D72:E72" si="41">SUM(D42:D71)</f>
        <v>0</v>
      </c>
      <c r="E72" s="56">
        <f t="shared" si="41"/>
        <v>80</v>
      </c>
      <c r="F72" s="140">
        <f>SUM(C72:E72)</f>
        <v>240</v>
      </c>
      <c r="G72" s="453" t="s">
        <v>42</v>
      </c>
      <c r="H72" s="454"/>
      <c r="I72" s="454"/>
      <c r="J72" s="454"/>
      <c r="K72" s="455"/>
      <c r="L72" s="61">
        <f>AVERAGE(L42:L71)</f>
        <v>11.476190476190474</v>
      </c>
      <c r="M72" s="62" t="s">
        <v>41</v>
      </c>
    </row>
    <row r="73" spans="1:18" ht="24" customHeight="1" thickBot="1" x14ac:dyDescent="0.35">
      <c r="A73" s="345" t="s">
        <v>69</v>
      </c>
      <c r="B73" s="346"/>
      <c r="C73" s="112">
        <f>C41+C72</f>
        <v>185</v>
      </c>
      <c r="D73" s="114">
        <f t="shared" ref="D73:E73" si="42">D41+D72</f>
        <v>74</v>
      </c>
      <c r="E73" s="57">
        <f t="shared" si="42"/>
        <v>96</v>
      </c>
      <c r="F73" s="140">
        <f>SUM(C73:E73)</f>
        <v>355</v>
      </c>
      <c r="G73" s="456" t="s">
        <v>70</v>
      </c>
      <c r="H73" s="457"/>
      <c r="I73" s="457"/>
      <c r="J73" s="457"/>
      <c r="K73" s="458"/>
      <c r="L73" s="61">
        <f>AVERAGE(L41,L72)</f>
        <v>11.571428571428569</v>
      </c>
      <c r="M73" s="62" t="s">
        <v>41</v>
      </c>
    </row>
    <row r="74" spans="1:18" ht="45.75" customHeight="1" x14ac:dyDescent="0.3">
      <c r="A74" s="347" t="s">
        <v>71</v>
      </c>
      <c r="B74" s="347"/>
      <c r="C74" s="347"/>
      <c r="D74" s="347"/>
      <c r="E74" s="347"/>
      <c r="F74" s="347"/>
      <c r="G74" s="347"/>
      <c r="H74" s="347"/>
      <c r="I74" s="347"/>
      <c r="J74" s="347"/>
      <c r="K74" s="347"/>
      <c r="L74" s="347"/>
      <c r="M74" s="347"/>
    </row>
    <row r="75" spans="1:18" ht="17.25" x14ac:dyDescent="0.3">
      <c r="A75" s="194"/>
      <c r="H75" s="39"/>
    </row>
    <row r="76" spans="1:18" x14ac:dyDescent="0.3">
      <c r="G76" s="39"/>
      <c r="H76" s="39"/>
    </row>
    <row r="77" spans="1:18" x14ac:dyDescent="0.3">
      <c r="C77" s="39"/>
      <c r="D77" s="39"/>
      <c r="G77" s="39"/>
    </row>
  </sheetData>
  <mergeCells count="58">
    <mergeCell ref="A73:B73"/>
    <mergeCell ref="G73:K73"/>
    <mergeCell ref="A74:M74"/>
    <mergeCell ref="M60:M62"/>
    <mergeCell ref="M63:M65"/>
    <mergeCell ref="M66:M68"/>
    <mergeCell ref="M69:M71"/>
    <mergeCell ref="A72:B72"/>
    <mergeCell ref="G72:K72"/>
    <mergeCell ref="A41:B41"/>
    <mergeCell ref="G41:K41"/>
    <mergeCell ref="O41:P41"/>
    <mergeCell ref="A42:A71"/>
    <mergeCell ref="M42:M44"/>
    <mergeCell ref="M45:M47"/>
    <mergeCell ref="M48:M50"/>
    <mergeCell ref="M51:M53"/>
    <mergeCell ref="M54:M56"/>
    <mergeCell ref="M57:M59"/>
    <mergeCell ref="A14:A40"/>
    <mergeCell ref="M14:M16"/>
    <mergeCell ref="M20:M22"/>
    <mergeCell ref="M26:M28"/>
    <mergeCell ref="M32:M34"/>
    <mergeCell ref="M35:M37"/>
    <mergeCell ref="M38:M40"/>
    <mergeCell ref="M17:M19"/>
    <mergeCell ref="M23:M25"/>
    <mergeCell ref="M29:M31"/>
    <mergeCell ref="M11:M13"/>
    <mergeCell ref="C12:D12"/>
    <mergeCell ref="G12:L12"/>
    <mergeCell ref="A8:B8"/>
    <mergeCell ref="C8:F8"/>
    <mergeCell ref="G8:H8"/>
    <mergeCell ref="I8:M8"/>
    <mergeCell ref="A10:B10"/>
    <mergeCell ref="A11:A13"/>
    <mergeCell ref="B11:B13"/>
    <mergeCell ref="C11:E11"/>
    <mergeCell ref="F11:F13"/>
    <mergeCell ref="G11:L11"/>
    <mergeCell ref="A5:B5"/>
    <mergeCell ref="C5:F5"/>
    <mergeCell ref="G5:H5"/>
    <mergeCell ref="I5:M7"/>
    <mergeCell ref="A6:B6"/>
    <mergeCell ref="C6:F6"/>
    <mergeCell ref="G6:H6"/>
    <mergeCell ref="A7:B7"/>
    <mergeCell ref="C7:F7"/>
    <mergeCell ref="G7:H7"/>
    <mergeCell ref="A1:M1"/>
    <mergeCell ref="A3:B3"/>
    <mergeCell ref="A4:B4"/>
    <mergeCell ref="C4:F4"/>
    <mergeCell ref="G4:H4"/>
    <mergeCell ref="I4:M4"/>
  </mergeCells>
  <phoneticPr fontId="2" type="noConversion"/>
  <printOptions horizontalCentered="1"/>
  <pageMargins left="0.31496062992125984" right="0.31496062992125984" top="0.74803149606299213" bottom="0.39370078740157483" header="0.31496062992125984" footer="0.31496062992125984"/>
  <pageSetup paperSize="9" scale="5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71C2D-6639-4515-AF87-A97995C18B4A}">
  <sheetPr>
    <pageSetUpPr fitToPage="1"/>
  </sheetPr>
  <dimension ref="A1:T68"/>
  <sheetViews>
    <sheetView showGridLines="0" topLeftCell="C1" workbookViewId="0">
      <selection activeCell="H54" sqref="H54"/>
    </sheetView>
  </sheetViews>
  <sheetFormatPr defaultColWidth="9" defaultRowHeight="16.5" x14ac:dyDescent="0.3"/>
  <cols>
    <col min="1" max="1" width="10.5" style="5" customWidth="1"/>
    <col min="2" max="2" width="12.125" style="5" customWidth="1"/>
    <col min="3" max="6" width="6.375" style="5" customWidth="1"/>
    <col min="7" max="12" width="11.625" style="5" customWidth="1"/>
    <col min="13" max="13" width="16.25" style="100" customWidth="1"/>
    <col min="14" max="14" width="5.625" style="5" customWidth="1"/>
    <col min="15" max="15" width="15.625" style="5" hidden="1" customWidth="1"/>
    <col min="16" max="17" width="11.75" style="5" hidden="1" customWidth="1"/>
    <col min="18" max="23" width="8.75" style="5" customWidth="1"/>
    <col min="24" max="16384" width="9" style="5"/>
  </cols>
  <sheetData>
    <row r="1" spans="1:19" s="1" customFormat="1" ht="39" customHeight="1" x14ac:dyDescent="0.3">
      <c r="A1" s="471" t="s">
        <v>72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</row>
    <row r="2" spans="1:19" ht="22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>
        <v>45960</v>
      </c>
    </row>
    <row r="3" spans="1:19" ht="24" customHeight="1" x14ac:dyDescent="0.3">
      <c r="A3" s="418" t="s">
        <v>0</v>
      </c>
      <c r="B3" s="419"/>
      <c r="C3" s="2"/>
      <c r="D3" s="2"/>
      <c r="E3" s="2"/>
      <c r="F3" s="2"/>
      <c r="G3" s="6"/>
      <c r="H3" s="6"/>
      <c r="I3" s="6"/>
      <c r="J3" s="6"/>
      <c r="K3" s="6"/>
      <c r="L3" s="6"/>
      <c r="M3" s="7"/>
    </row>
    <row r="4" spans="1:19" ht="35.25" customHeight="1" thickBot="1" x14ac:dyDescent="0.35">
      <c r="A4" s="420" t="s">
        <v>1</v>
      </c>
      <c r="B4" s="421"/>
      <c r="C4" s="422" t="s">
        <v>94</v>
      </c>
      <c r="D4" s="423"/>
      <c r="E4" s="424"/>
      <c r="F4" s="420"/>
      <c r="G4" s="422" t="s">
        <v>140</v>
      </c>
      <c r="H4" s="420"/>
      <c r="I4" s="426" t="s">
        <v>5</v>
      </c>
      <c r="J4" s="424"/>
      <c r="K4" s="424"/>
      <c r="L4" s="424"/>
      <c r="M4" s="424"/>
    </row>
    <row r="5" spans="1:19" ht="24" customHeight="1" x14ac:dyDescent="0.3">
      <c r="A5" s="427" t="s">
        <v>8</v>
      </c>
      <c r="B5" s="428"/>
      <c r="C5" s="429"/>
      <c r="D5" s="430"/>
      <c r="E5" s="430"/>
      <c r="F5" s="431"/>
      <c r="G5" s="429"/>
      <c r="H5" s="431"/>
      <c r="I5" s="434" t="s">
        <v>113</v>
      </c>
      <c r="J5" s="435"/>
      <c r="K5" s="466"/>
      <c r="L5" s="466"/>
      <c r="M5" s="466"/>
    </row>
    <row r="6" spans="1:19" ht="24" customHeight="1" x14ac:dyDescent="0.3">
      <c r="A6" s="440" t="s">
        <v>9</v>
      </c>
      <c r="B6" s="441"/>
      <c r="C6" s="442">
        <f>SUM(F20:F29,F33:F53)</f>
        <v>168</v>
      </c>
      <c r="D6" s="443"/>
      <c r="E6" s="443"/>
      <c r="F6" s="444"/>
      <c r="G6" s="442"/>
      <c r="H6" s="444"/>
      <c r="I6" s="467"/>
      <c r="J6" s="468"/>
      <c r="K6" s="468"/>
      <c r="L6" s="468"/>
      <c r="M6" s="468"/>
    </row>
    <row r="7" spans="1:19" ht="24" customHeight="1" thickBot="1" x14ac:dyDescent="0.35">
      <c r="A7" s="445" t="s">
        <v>73</v>
      </c>
      <c r="B7" s="446"/>
      <c r="C7" s="392"/>
      <c r="D7" s="447"/>
      <c r="E7" s="447"/>
      <c r="F7" s="393"/>
      <c r="G7" s="392">
        <f>SUM(F45:F62)</f>
        <v>116</v>
      </c>
      <c r="H7" s="393"/>
      <c r="I7" s="469"/>
      <c r="J7" s="470"/>
      <c r="K7" s="470"/>
      <c r="L7" s="470"/>
      <c r="M7" s="470"/>
    </row>
    <row r="8" spans="1:19" ht="24" customHeight="1" x14ac:dyDescent="0.3">
      <c r="A8" s="407" t="s">
        <v>10</v>
      </c>
      <c r="B8" s="408"/>
      <c r="C8" s="409">
        <f>SUM(C5:F7)</f>
        <v>168</v>
      </c>
      <c r="D8" s="410"/>
      <c r="E8" s="410"/>
      <c r="F8" s="411"/>
      <c r="G8" s="409">
        <f>G7</f>
        <v>116</v>
      </c>
      <c r="H8" s="411"/>
      <c r="I8" s="412"/>
      <c r="J8" s="414"/>
      <c r="K8" s="414"/>
      <c r="L8" s="414"/>
      <c r="M8" s="414"/>
    </row>
    <row r="9" spans="1:19" ht="12" customHeight="1" x14ac:dyDescent="0.3">
      <c r="A9" s="8"/>
      <c r="B9" s="8"/>
      <c r="C9" s="8"/>
      <c r="D9" s="8"/>
      <c r="E9" s="8"/>
      <c r="F9" s="8"/>
      <c r="G9" s="125"/>
      <c r="H9" s="8"/>
      <c r="I9" s="8"/>
      <c r="J9" s="8"/>
      <c r="K9" s="8"/>
      <c r="L9" s="8"/>
      <c r="M9" s="8"/>
      <c r="R9" s="39"/>
    </row>
    <row r="10" spans="1:19" ht="29.25" customHeight="1" thickBot="1" x14ac:dyDescent="0.35">
      <c r="A10" s="415" t="s">
        <v>11</v>
      </c>
      <c r="B10" s="416"/>
      <c r="C10" s="8"/>
      <c r="D10" s="8"/>
      <c r="E10" s="8"/>
      <c r="F10" s="8"/>
      <c r="G10" s="472" t="s">
        <v>121</v>
      </c>
      <c r="H10" s="472"/>
      <c r="I10" s="472"/>
      <c r="J10" s="472"/>
      <c r="K10" s="472"/>
      <c r="L10" s="472"/>
      <c r="M10" s="472"/>
    </row>
    <row r="11" spans="1:19" ht="36" customHeight="1" x14ac:dyDescent="0.3">
      <c r="A11" s="394" t="s">
        <v>12</v>
      </c>
      <c r="B11" s="397" t="s">
        <v>13</v>
      </c>
      <c r="C11" s="399" t="s">
        <v>14</v>
      </c>
      <c r="D11" s="399"/>
      <c r="E11" s="400"/>
      <c r="F11" s="401" t="s">
        <v>15</v>
      </c>
      <c r="G11" s="404" t="s">
        <v>18</v>
      </c>
      <c r="H11" s="405"/>
      <c r="I11" s="405"/>
      <c r="J11" s="405"/>
      <c r="K11" s="405"/>
      <c r="L11" s="406"/>
      <c r="M11" s="460" t="s">
        <v>19</v>
      </c>
    </row>
    <row r="12" spans="1:19" ht="22.5" customHeight="1" x14ac:dyDescent="0.3">
      <c r="A12" s="395"/>
      <c r="B12" s="398"/>
      <c r="C12" s="463" t="s">
        <v>96</v>
      </c>
      <c r="D12" s="464"/>
      <c r="E12" s="113" t="s">
        <v>97</v>
      </c>
      <c r="F12" s="402"/>
      <c r="G12" s="465" t="s">
        <v>114</v>
      </c>
      <c r="H12" s="382"/>
      <c r="I12" s="382"/>
      <c r="J12" s="382"/>
      <c r="K12" s="382"/>
      <c r="L12" s="383"/>
      <c r="M12" s="461"/>
    </row>
    <row r="13" spans="1:19" ht="35.25" customHeight="1" thickBot="1" x14ac:dyDescent="0.35">
      <c r="A13" s="396"/>
      <c r="B13" s="385"/>
      <c r="C13" s="107" t="s">
        <v>98</v>
      </c>
      <c r="D13" s="104" t="s">
        <v>99</v>
      </c>
      <c r="E13" s="104" t="s">
        <v>98</v>
      </c>
      <c r="F13" s="403"/>
      <c r="G13" s="9" t="s">
        <v>23</v>
      </c>
      <c r="H13" s="10" t="s">
        <v>24</v>
      </c>
      <c r="I13" s="10" t="s">
        <v>25</v>
      </c>
      <c r="J13" s="10" t="s">
        <v>111</v>
      </c>
      <c r="K13" s="11" t="s">
        <v>26</v>
      </c>
      <c r="L13" s="12" t="s">
        <v>27</v>
      </c>
      <c r="M13" s="462"/>
    </row>
    <row r="14" spans="1:19" ht="16.5" customHeight="1" x14ac:dyDescent="0.3">
      <c r="A14" s="351" t="s">
        <v>44</v>
      </c>
      <c r="B14" s="13" t="s">
        <v>58</v>
      </c>
      <c r="C14" s="108">
        <v>13</v>
      </c>
      <c r="D14" s="15">
        <v>3</v>
      </c>
      <c r="E14" s="14"/>
      <c r="F14" s="138">
        <f>C14+D14+E14</f>
        <v>16</v>
      </c>
      <c r="G14" s="117">
        <v>45600</v>
      </c>
      <c r="H14" s="19">
        <v>45601</v>
      </c>
      <c r="I14" s="37">
        <v>45608</v>
      </c>
      <c r="J14" s="37"/>
      <c r="K14" s="37">
        <v>45643</v>
      </c>
      <c r="L14" s="21">
        <f>(K15-G14+1)/7</f>
        <v>11.714285714285714</v>
      </c>
      <c r="M14" s="473" t="s">
        <v>120</v>
      </c>
    </row>
    <row r="15" spans="1:19" ht="16.5" customHeight="1" x14ac:dyDescent="0.3">
      <c r="A15" s="352"/>
      <c r="B15" s="13"/>
      <c r="C15" s="108"/>
      <c r="D15" s="15"/>
      <c r="E15" s="14"/>
      <c r="F15" s="138"/>
      <c r="G15" s="101"/>
      <c r="H15" s="19">
        <v>45603</v>
      </c>
      <c r="I15" s="19">
        <v>45643</v>
      </c>
      <c r="J15" s="19"/>
      <c r="K15" s="120">
        <v>45681</v>
      </c>
      <c r="L15" s="24"/>
      <c r="M15" s="474"/>
      <c r="S15" s="26"/>
    </row>
    <row r="16" spans="1:19" ht="16.5" customHeight="1" x14ac:dyDescent="0.3">
      <c r="A16" s="352"/>
      <c r="B16" s="27"/>
      <c r="C16" s="109"/>
      <c r="D16" s="29"/>
      <c r="E16" s="28"/>
      <c r="F16" s="139"/>
      <c r="G16" s="102"/>
      <c r="H16" s="33">
        <f t="shared" ref="H16" si="0">(H15-H14+1)/7</f>
        <v>0.42857142857142855</v>
      </c>
      <c r="I16" s="33">
        <f>(I15-I14+1)/7</f>
        <v>5.1428571428571432</v>
      </c>
      <c r="J16" s="33"/>
      <c r="K16" s="33">
        <f>(K15-K14+1)/7</f>
        <v>5.5714285714285712</v>
      </c>
      <c r="L16" s="35"/>
      <c r="M16" s="475"/>
    </row>
    <row r="17" spans="1:19" ht="16.5" customHeight="1" x14ac:dyDescent="0.3">
      <c r="A17" s="352"/>
      <c r="B17" s="41" t="s">
        <v>60</v>
      </c>
      <c r="C17" s="110">
        <v>7</v>
      </c>
      <c r="D17" s="43">
        <v>9</v>
      </c>
      <c r="E17" s="42"/>
      <c r="F17" s="138">
        <f t="shared" ref="F17" si="1">C17+D17+E17</f>
        <v>16</v>
      </c>
      <c r="G17" s="117">
        <v>45635</v>
      </c>
      <c r="H17" s="19">
        <v>45636</v>
      </c>
      <c r="I17" s="37">
        <v>45642</v>
      </c>
      <c r="J17" s="37"/>
      <c r="K17" s="37">
        <v>45691</v>
      </c>
      <c r="L17" s="21">
        <f>(K18-G17+1)/7</f>
        <v>13.285714285714286</v>
      </c>
      <c r="M17" s="476" t="s">
        <v>115</v>
      </c>
      <c r="O17" s="26"/>
      <c r="R17" s="39"/>
      <c r="S17" s="39"/>
    </row>
    <row r="18" spans="1:19" ht="16.5" customHeight="1" x14ac:dyDescent="0.3">
      <c r="A18" s="352"/>
      <c r="B18" s="13"/>
      <c r="C18" s="108"/>
      <c r="D18" s="15"/>
      <c r="E18" s="14"/>
      <c r="F18" s="138"/>
      <c r="G18" s="118"/>
      <c r="H18" s="19">
        <v>45638</v>
      </c>
      <c r="I18" s="19">
        <v>45681</v>
      </c>
      <c r="J18" s="19"/>
      <c r="K18" s="120">
        <v>45727</v>
      </c>
      <c r="L18" s="24"/>
      <c r="M18" s="474"/>
      <c r="R18" s="39"/>
    </row>
    <row r="19" spans="1:19" ht="16.5" customHeight="1" x14ac:dyDescent="0.3">
      <c r="A19" s="352"/>
      <c r="B19" s="27"/>
      <c r="C19" s="109"/>
      <c r="D19" s="29"/>
      <c r="E19" s="28"/>
      <c r="F19" s="139"/>
      <c r="G19" s="119"/>
      <c r="H19" s="33">
        <f>(H18-H17+1)/7</f>
        <v>0.42857142857142855</v>
      </c>
      <c r="I19" s="33">
        <f>(I18-I17+1)/7</f>
        <v>5.7142857142857144</v>
      </c>
      <c r="J19" s="33"/>
      <c r="K19" s="33">
        <f>(K18-K17+1)/7</f>
        <v>5.2857142857142856</v>
      </c>
      <c r="L19" s="35"/>
      <c r="M19" s="475"/>
    </row>
    <row r="20" spans="1:19" ht="16.5" customHeight="1" x14ac:dyDescent="0.3">
      <c r="A20" s="352"/>
      <c r="B20" s="13" t="s">
        <v>62</v>
      </c>
      <c r="C20" s="108"/>
      <c r="D20" s="15">
        <v>12</v>
      </c>
      <c r="E20" s="14"/>
      <c r="F20" s="138">
        <f t="shared" ref="F20" si="2">C20+D20+E20</f>
        <v>12</v>
      </c>
      <c r="G20" s="106">
        <v>45677</v>
      </c>
      <c r="H20" s="19">
        <v>45678</v>
      </c>
      <c r="I20" s="19">
        <v>45691</v>
      </c>
      <c r="J20" s="19"/>
      <c r="K20" s="19">
        <v>45728</v>
      </c>
      <c r="L20" s="24">
        <f>(K21-G20+1)/7</f>
        <v>10.142857142857142</v>
      </c>
      <c r="M20" s="477" t="s">
        <v>116</v>
      </c>
      <c r="O20" s="26"/>
      <c r="R20" s="39"/>
    </row>
    <row r="21" spans="1:19" ht="16.5" customHeight="1" x14ac:dyDescent="0.3">
      <c r="A21" s="352"/>
      <c r="B21" s="13"/>
      <c r="C21" s="108"/>
      <c r="D21" s="15"/>
      <c r="E21" s="14"/>
      <c r="F21" s="138"/>
      <c r="G21" s="118"/>
      <c r="H21" s="19">
        <v>45680</v>
      </c>
      <c r="I21" s="19">
        <v>45720</v>
      </c>
      <c r="J21" s="19"/>
      <c r="K21" s="120">
        <v>45747</v>
      </c>
      <c r="L21" s="24"/>
      <c r="M21" s="474"/>
    </row>
    <row r="22" spans="1:19" ht="16.5" customHeight="1" x14ac:dyDescent="0.3">
      <c r="A22" s="352"/>
      <c r="B22" s="27"/>
      <c r="C22" s="109"/>
      <c r="D22" s="29"/>
      <c r="E22" s="28"/>
      <c r="F22" s="139"/>
      <c r="G22" s="119"/>
      <c r="H22" s="33">
        <f>(H21-H20+1)/7</f>
        <v>0.42857142857142855</v>
      </c>
      <c r="I22" s="33">
        <f>(I21-I20+1)/7</f>
        <v>4.2857142857142856</v>
      </c>
      <c r="J22" s="33"/>
      <c r="K22" s="33">
        <f>(K21-K20+1)/7</f>
        <v>2.8571428571428572</v>
      </c>
      <c r="L22" s="35"/>
      <c r="M22" s="475"/>
    </row>
    <row r="23" spans="1:19" ht="16.5" customHeight="1" x14ac:dyDescent="0.3">
      <c r="A23" s="352"/>
      <c r="B23" s="41" t="s">
        <v>64</v>
      </c>
      <c r="C23" s="110"/>
      <c r="D23" s="43">
        <v>9</v>
      </c>
      <c r="E23" s="42"/>
      <c r="F23" s="138">
        <f t="shared" ref="F23" si="3">C23+D23+E23</f>
        <v>9</v>
      </c>
      <c r="G23" s="117">
        <v>45712</v>
      </c>
      <c r="H23" s="37">
        <v>45713</v>
      </c>
      <c r="I23" s="37">
        <v>45721</v>
      </c>
      <c r="J23" s="37"/>
      <c r="K23" s="37">
        <v>45749</v>
      </c>
      <c r="L23" s="21">
        <f>(K24-G23+1)/7</f>
        <v>9.2857142857142865</v>
      </c>
      <c r="M23" s="473" t="s">
        <v>117</v>
      </c>
      <c r="O23" s="26"/>
    </row>
    <row r="24" spans="1:19" ht="16.5" customHeight="1" x14ac:dyDescent="0.3">
      <c r="A24" s="352"/>
      <c r="B24" s="13"/>
      <c r="C24" s="108"/>
      <c r="D24" s="15"/>
      <c r="E24" s="14"/>
      <c r="F24" s="138"/>
      <c r="G24" s="118"/>
      <c r="H24" s="19">
        <v>45715</v>
      </c>
      <c r="I24" s="19">
        <v>45754</v>
      </c>
      <c r="J24" s="19"/>
      <c r="K24" s="120">
        <v>45776</v>
      </c>
      <c r="L24" s="24"/>
      <c r="M24" s="474"/>
    </row>
    <row r="25" spans="1:19" ht="16.5" customHeight="1" x14ac:dyDescent="0.3">
      <c r="A25" s="352"/>
      <c r="B25" s="27"/>
      <c r="C25" s="109"/>
      <c r="D25" s="29"/>
      <c r="E25" s="28"/>
      <c r="F25" s="139"/>
      <c r="G25" s="119"/>
      <c r="H25" s="33">
        <f>(H24-H23+1)/7</f>
        <v>0.42857142857142855</v>
      </c>
      <c r="I25" s="33">
        <f>(I24-I23+1)/7</f>
        <v>4.8571428571428568</v>
      </c>
      <c r="J25" s="33"/>
      <c r="K25" s="33">
        <f>(K24-K23+1)/7</f>
        <v>4</v>
      </c>
      <c r="L25" s="35"/>
      <c r="M25" s="475"/>
    </row>
    <row r="26" spans="1:19" ht="16.5" customHeight="1" x14ac:dyDescent="0.3">
      <c r="A26" s="352"/>
      <c r="B26" s="41" t="s">
        <v>66</v>
      </c>
      <c r="C26" s="110">
        <v>4</v>
      </c>
      <c r="D26" s="43"/>
      <c r="E26" s="42"/>
      <c r="F26" s="138">
        <f t="shared" ref="F26" si="4">C26+D26+E26</f>
        <v>4</v>
      </c>
      <c r="G26" s="117">
        <v>45726</v>
      </c>
      <c r="H26" s="37">
        <v>45727</v>
      </c>
      <c r="I26" s="37">
        <v>45733</v>
      </c>
      <c r="J26" s="37">
        <v>45768</v>
      </c>
      <c r="K26" s="37">
        <v>45784</v>
      </c>
      <c r="L26" s="21">
        <f>(K27-G26+1)/7</f>
        <v>11.142857142857142</v>
      </c>
      <c r="M26" s="473" t="s">
        <v>118</v>
      </c>
    </row>
    <row r="27" spans="1:19" ht="16.5" customHeight="1" x14ac:dyDescent="0.3">
      <c r="A27" s="352"/>
      <c r="B27" s="13"/>
      <c r="C27" s="108"/>
      <c r="D27" s="15"/>
      <c r="E27" s="14"/>
      <c r="F27" s="138"/>
      <c r="G27" s="101"/>
      <c r="H27" s="19">
        <v>45729</v>
      </c>
      <c r="I27" s="19">
        <v>45763</v>
      </c>
      <c r="J27" s="19">
        <v>45781</v>
      </c>
      <c r="K27" s="120">
        <v>45803</v>
      </c>
      <c r="L27" s="24"/>
      <c r="M27" s="474"/>
    </row>
    <row r="28" spans="1:19" ht="16.5" customHeight="1" x14ac:dyDescent="0.3">
      <c r="A28" s="352"/>
      <c r="B28" s="27"/>
      <c r="C28" s="109"/>
      <c r="D28" s="29"/>
      <c r="E28" s="28"/>
      <c r="F28" s="139"/>
      <c r="G28" s="102"/>
      <c r="H28" s="33">
        <f>(H27-H26+1)/7</f>
        <v>0.42857142857142855</v>
      </c>
      <c r="I28" s="33">
        <f>(I27-I26+1)/7</f>
        <v>4.4285714285714288</v>
      </c>
      <c r="J28" s="33">
        <f t="shared" ref="J28" si="5">(J27-J26+1)/7</f>
        <v>2</v>
      </c>
      <c r="K28" s="33">
        <f>(K27-K26+1)/7</f>
        <v>2.8571428571428572</v>
      </c>
      <c r="L28" s="35"/>
      <c r="M28" s="475"/>
    </row>
    <row r="29" spans="1:19" ht="16.5" customHeight="1" x14ac:dyDescent="0.3">
      <c r="A29" s="352"/>
      <c r="B29" s="41" t="s">
        <v>67</v>
      </c>
      <c r="C29" s="110"/>
      <c r="D29" s="43">
        <v>16</v>
      </c>
      <c r="E29" s="42"/>
      <c r="F29" s="138">
        <f t="shared" ref="F29" si="6">C29+D29+E29</f>
        <v>16</v>
      </c>
      <c r="G29" s="117">
        <v>45747</v>
      </c>
      <c r="H29" s="37">
        <v>45748</v>
      </c>
      <c r="I29" s="37">
        <v>45756</v>
      </c>
      <c r="J29" s="37"/>
      <c r="K29" s="37">
        <v>45803</v>
      </c>
      <c r="L29" s="21">
        <f>(K30-G29+1)/7</f>
        <v>12.428571428571429</v>
      </c>
      <c r="M29" s="473" t="s">
        <v>119</v>
      </c>
      <c r="O29" s="26"/>
    </row>
    <row r="30" spans="1:19" ht="16.5" customHeight="1" x14ac:dyDescent="0.3">
      <c r="A30" s="352"/>
      <c r="B30" s="13"/>
      <c r="C30" s="108"/>
      <c r="D30" s="15"/>
      <c r="E30" s="14"/>
      <c r="F30" s="138"/>
      <c r="G30" s="101"/>
      <c r="H30" s="19">
        <v>45750</v>
      </c>
      <c r="I30" s="19">
        <v>45804</v>
      </c>
      <c r="J30" s="84"/>
      <c r="K30" s="120">
        <v>45833</v>
      </c>
      <c r="L30" s="24"/>
      <c r="M30" s="474"/>
    </row>
    <row r="31" spans="1:19" ht="16.5" customHeight="1" thickBot="1" x14ac:dyDescent="0.35">
      <c r="A31" s="353"/>
      <c r="B31" s="47"/>
      <c r="C31" s="111"/>
      <c r="D31" s="49"/>
      <c r="E31" s="48"/>
      <c r="F31" s="105"/>
      <c r="G31" s="103"/>
      <c r="H31" s="53">
        <f>(H30-H29+1)/7</f>
        <v>0.42857142857142855</v>
      </c>
      <c r="I31" s="53">
        <f>(I30-I29+1)/7</f>
        <v>7</v>
      </c>
      <c r="J31" s="97"/>
      <c r="K31" s="53">
        <f>(K30-K29+1)/7</f>
        <v>4.4285714285714288</v>
      </c>
      <c r="L31" s="55"/>
      <c r="M31" s="478"/>
      <c r="Q31" s="39"/>
    </row>
    <row r="32" spans="1:19" ht="24" customHeight="1" thickBot="1" x14ac:dyDescent="0.35">
      <c r="A32" s="343" t="s">
        <v>10</v>
      </c>
      <c r="B32" s="344"/>
      <c r="C32" s="112">
        <f>SUM(C14:C31)</f>
        <v>24</v>
      </c>
      <c r="D32" s="58">
        <f>SUM(D14:D31)</f>
        <v>49</v>
      </c>
      <c r="E32" s="57">
        <f>SUM(E14:E31)</f>
        <v>0</v>
      </c>
      <c r="F32" s="140">
        <f>SUM(C32:E32)</f>
        <v>73</v>
      </c>
      <c r="G32" s="480" t="s">
        <v>42</v>
      </c>
      <c r="H32" s="481"/>
      <c r="I32" s="481"/>
      <c r="J32" s="481"/>
      <c r="K32" s="482"/>
      <c r="L32" s="61">
        <f>AVERAGE(L14:L31)</f>
        <v>11.333333333333334</v>
      </c>
      <c r="M32" s="62" t="s">
        <v>41</v>
      </c>
      <c r="O32" s="350" t="s">
        <v>43</v>
      </c>
      <c r="P32" s="350"/>
    </row>
    <row r="33" spans="1:20" ht="15" customHeight="1" x14ac:dyDescent="0.3">
      <c r="A33" s="351" t="s">
        <v>74</v>
      </c>
      <c r="B33" s="63" t="s">
        <v>75</v>
      </c>
      <c r="C33" s="191">
        <v>14</v>
      </c>
      <c r="D33" s="65"/>
      <c r="E33" s="64"/>
      <c r="F33" s="138">
        <f>C33+D33+E33</f>
        <v>14</v>
      </c>
      <c r="G33" s="192">
        <v>45796</v>
      </c>
      <c r="H33" s="68">
        <v>45797</v>
      </c>
      <c r="I33" s="68">
        <v>45803</v>
      </c>
      <c r="J33" s="68"/>
      <c r="K33" s="68">
        <v>45845</v>
      </c>
      <c r="L33" s="70">
        <f>(K34-G33+1)/7</f>
        <v>10.285714285714286</v>
      </c>
      <c r="M33" s="479" t="s">
        <v>122</v>
      </c>
      <c r="N33" s="71"/>
      <c r="O33" s="5" t="s">
        <v>47</v>
      </c>
      <c r="P33" s="72" t="e">
        <f>AVERAGE(H35,H38,H41,H44,H47,H62,#REF!,#REF!,#REF!,#REF!)</f>
        <v>#REF!</v>
      </c>
      <c r="Q33" s="5">
        <v>1</v>
      </c>
      <c r="R33" s="39"/>
    </row>
    <row r="34" spans="1:20" ht="15" customHeight="1" x14ac:dyDescent="0.3">
      <c r="A34" s="352"/>
      <c r="B34" s="13"/>
      <c r="C34" s="108"/>
      <c r="D34" s="15"/>
      <c r="E34" s="14"/>
      <c r="F34" s="138"/>
      <c r="G34" s="118"/>
      <c r="H34" s="19">
        <v>45799</v>
      </c>
      <c r="I34" s="19">
        <v>45842</v>
      </c>
      <c r="J34" s="19"/>
      <c r="K34" s="120">
        <v>45867</v>
      </c>
      <c r="L34" s="24"/>
      <c r="M34" s="474"/>
      <c r="N34" s="71"/>
      <c r="O34" s="5" t="s">
        <v>48</v>
      </c>
      <c r="P34" s="72" t="e">
        <f>AVERAGE(I35,I38,I41,I44,I47,I62,#REF!,#REF!,#REF!,#REF!)</f>
        <v>#REF!</v>
      </c>
      <c r="Q34" s="5">
        <v>6</v>
      </c>
    </row>
    <row r="35" spans="1:20" ht="15" customHeight="1" x14ac:dyDescent="0.3">
      <c r="A35" s="352"/>
      <c r="B35" s="27"/>
      <c r="C35" s="109"/>
      <c r="D35" s="29"/>
      <c r="E35" s="28"/>
      <c r="F35" s="139"/>
      <c r="G35" s="119"/>
      <c r="H35" s="33">
        <f>(H34-H33+1)/7</f>
        <v>0.42857142857142855</v>
      </c>
      <c r="I35" s="33">
        <f>(I34-I33+1)/7</f>
        <v>5.7142857142857144</v>
      </c>
      <c r="J35" s="33"/>
      <c r="K35" s="33">
        <f>(K34-K33+1)/7</f>
        <v>3.2857142857142856</v>
      </c>
      <c r="L35" s="35"/>
      <c r="M35" s="475"/>
      <c r="N35" s="71"/>
      <c r="O35" s="5" t="s">
        <v>49</v>
      </c>
      <c r="P35" s="72" t="e">
        <f>AVERAGE(K35,K38,K41,K44,K47,K62,#REF!,#REF!,#REF!,#REF!)</f>
        <v>#REF!</v>
      </c>
      <c r="Q35" s="5">
        <v>5</v>
      </c>
      <c r="R35" s="39"/>
    </row>
    <row r="36" spans="1:20" ht="15" customHeight="1" x14ac:dyDescent="0.3">
      <c r="A36" s="352"/>
      <c r="B36" s="13" t="s">
        <v>77</v>
      </c>
      <c r="C36" s="108">
        <v>16</v>
      </c>
      <c r="D36" s="15"/>
      <c r="E36" s="14"/>
      <c r="F36" s="138">
        <f t="shared" ref="F36" si="7">C36+D36+E36</f>
        <v>16</v>
      </c>
      <c r="G36" s="106">
        <v>45831</v>
      </c>
      <c r="H36" s="19">
        <v>45832</v>
      </c>
      <c r="I36" s="37">
        <v>45838</v>
      </c>
      <c r="J36" s="37"/>
      <c r="K36" s="37">
        <v>45868</v>
      </c>
      <c r="L36" s="24">
        <f>(K37-G36+1)/7</f>
        <v>10.571428571428571</v>
      </c>
      <c r="M36" s="476" t="s">
        <v>123</v>
      </c>
      <c r="P36" s="76"/>
      <c r="Q36" s="39"/>
    </row>
    <row r="37" spans="1:20" ht="15" customHeight="1" x14ac:dyDescent="0.3">
      <c r="A37" s="352"/>
      <c r="B37" s="13"/>
      <c r="C37" s="108"/>
      <c r="D37" s="15"/>
      <c r="E37" s="14"/>
      <c r="F37" s="138"/>
      <c r="G37" s="118"/>
      <c r="H37" s="19">
        <v>45834</v>
      </c>
      <c r="I37" s="19">
        <v>45869</v>
      </c>
      <c r="J37" s="19"/>
      <c r="K37" s="120">
        <v>45904</v>
      </c>
      <c r="L37" s="24"/>
      <c r="M37" s="474"/>
    </row>
    <row r="38" spans="1:20" ht="15" customHeight="1" x14ac:dyDescent="0.3">
      <c r="A38" s="352"/>
      <c r="B38" s="27"/>
      <c r="C38" s="109"/>
      <c r="D38" s="29"/>
      <c r="E38" s="28"/>
      <c r="F38" s="139"/>
      <c r="G38" s="119"/>
      <c r="H38" s="33">
        <f t="shared" ref="H38:K38" si="8">(H37-H36+1)/7</f>
        <v>0.42857142857142855</v>
      </c>
      <c r="I38" s="33">
        <f t="shared" si="8"/>
        <v>4.5714285714285712</v>
      </c>
      <c r="J38" s="193"/>
      <c r="K38" s="33">
        <f t="shared" si="8"/>
        <v>5.2857142857142856</v>
      </c>
      <c r="L38" s="35"/>
      <c r="M38" s="475"/>
      <c r="P38" s="39"/>
      <c r="R38" s="39"/>
    </row>
    <row r="39" spans="1:20" ht="15" customHeight="1" x14ac:dyDescent="0.3">
      <c r="A39" s="352"/>
      <c r="B39" s="13" t="s">
        <v>79</v>
      </c>
      <c r="C39" s="108">
        <v>16</v>
      </c>
      <c r="D39" s="15"/>
      <c r="E39" s="14"/>
      <c r="F39" s="138">
        <f t="shared" ref="F39" si="9">C39+D39+E39</f>
        <v>16</v>
      </c>
      <c r="G39" s="117">
        <v>45866</v>
      </c>
      <c r="H39" s="19">
        <v>45867</v>
      </c>
      <c r="I39" s="37">
        <v>45873</v>
      </c>
      <c r="J39" s="37"/>
      <c r="K39" s="37">
        <v>45908</v>
      </c>
      <c r="L39" s="21">
        <f>(K40-G39+1)/7</f>
        <v>12.285714285714286</v>
      </c>
      <c r="M39" s="476" t="s">
        <v>124</v>
      </c>
      <c r="O39" s="39"/>
      <c r="T39" s="39"/>
    </row>
    <row r="40" spans="1:20" ht="15" customHeight="1" x14ac:dyDescent="0.3">
      <c r="A40" s="352"/>
      <c r="B40" s="13"/>
      <c r="C40" s="108"/>
      <c r="D40" s="15"/>
      <c r="E40" s="14"/>
      <c r="F40" s="138"/>
      <c r="G40" s="118"/>
      <c r="H40" s="19">
        <v>45870</v>
      </c>
      <c r="I40" s="19">
        <v>45903</v>
      </c>
      <c r="J40" s="19"/>
      <c r="K40" s="120">
        <v>45951</v>
      </c>
      <c r="L40" s="24"/>
      <c r="M40" s="474"/>
      <c r="O40" s="77"/>
      <c r="Q40" s="77"/>
      <c r="R40" s="77"/>
    </row>
    <row r="41" spans="1:20" ht="15" customHeight="1" x14ac:dyDescent="0.3">
      <c r="A41" s="352"/>
      <c r="B41" s="27"/>
      <c r="C41" s="109"/>
      <c r="D41" s="29"/>
      <c r="E41" s="28"/>
      <c r="F41" s="139"/>
      <c r="G41" s="119"/>
      <c r="H41" s="33">
        <f t="shared" ref="H41:K41" si="10">(H40-H39+1)/7</f>
        <v>0.5714285714285714</v>
      </c>
      <c r="I41" s="33">
        <f t="shared" si="10"/>
        <v>4.4285714285714288</v>
      </c>
      <c r="J41" s="193"/>
      <c r="K41" s="33">
        <f t="shared" si="10"/>
        <v>6.2857142857142856</v>
      </c>
      <c r="L41" s="35"/>
      <c r="M41" s="475"/>
      <c r="O41" s="77">
        <v>11.1</v>
      </c>
      <c r="P41" s="77">
        <v>15.1</v>
      </c>
      <c r="Q41" s="77">
        <f t="shared" ref="Q41:Q46" si="11">O41-P41</f>
        <v>-4</v>
      </c>
      <c r="R41" s="77"/>
    </row>
    <row r="42" spans="1:20" ht="15" customHeight="1" x14ac:dyDescent="0.3">
      <c r="A42" s="352"/>
      <c r="B42" s="13" t="s">
        <v>81</v>
      </c>
      <c r="C42" s="108">
        <v>16</v>
      </c>
      <c r="D42" s="15"/>
      <c r="E42" s="14"/>
      <c r="F42" s="138">
        <f t="shared" ref="F42" si="12">C42+D42+E42</f>
        <v>16</v>
      </c>
      <c r="G42" s="117">
        <v>45894</v>
      </c>
      <c r="H42" s="19">
        <v>45895</v>
      </c>
      <c r="I42" s="37">
        <v>45902</v>
      </c>
      <c r="J42" s="37">
        <v>45931</v>
      </c>
      <c r="K42" s="38">
        <v>45951</v>
      </c>
      <c r="L42" s="135">
        <f>(K43-G42+1)/7</f>
        <v>12.714285714285714</v>
      </c>
      <c r="M42" s="492" t="s">
        <v>82</v>
      </c>
      <c r="O42" s="77">
        <v>10.7</v>
      </c>
      <c r="P42" s="77">
        <v>15.1</v>
      </c>
      <c r="Q42" s="77">
        <f t="shared" si="11"/>
        <v>-4.4000000000000004</v>
      </c>
      <c r="R42" s="77"/>
    </row>
    <row r="43" spans="1:20" ht="15" customHeight="1" x14ac:dyDescent="0.3">
      <c r="A43" s="352"/>
      <c r="B43" s="13"/>
      <c r="C43" s="108"/>
      <c r="D43" s="15"/>
      <c r="E43" s="14"/>
      <c r="F43" s="138"/>
      <c r="G43" s="118"/>
      <c r="H43" s="19">
        <v>45898</v>
      </c>
      <c r="I43" s="19">
        <v>45930</v>
      </c>
      <c r="J43" s="19">
        <v>45950</v>
      </c>
      <c r="K43" s="23">
        <v>45982</v>
      </c>
      <c r="L43" s="136"/>
      <c r="M43" s="493"/>
      <c r="O43" s="77">
        <v>10.3</v>
      </c>
      <c r="P43" s="77">
        <v>14.7</v>
      </c>
      <c r="Q43" s="77">
        <f t="shared" si="11"/>
        <v>-4.3999999999999986</v>
      </c>
      <c r="R43" s="77"/>
    </row>
    <row r="44" spans="1:20" ht="15" customHeight="1" x14ac:dyDescent="0.3">
      <c r="A44" s="352"/>
      <c r="B44" s="27"/>
      <c r="C44" s="109"/>
      <c r="D44" s="29"/>
      <c r="E44" s="28"/>
      <c r="F44" s="139"/>
      <c r="G44" s="119"/>
      <c r="H44" s="33">
        <f t="shared" ref="H44:K44" si="13">(H43-H42+1)/7</f>
        <v>0.5714285714285714</v>
      </c>
      <c r="I44" s="33">
        <f t="shared" si="13"/>
        <v>4.1428571428571432</v>
      </c>
      <c r="J44" s="193">
        <f t="shared" si="13"/>
        <v>2.8571428571428572</v>
      </c>
      <c r="K44" s="34">
        <f t="shared" si="13"/>
        <v>4.5714285714285712</v>
      </c>
      <c r="L44" s="137"/>
      <c r="M44" s="494"/>
      <c r="O44" s="77">
        <v>7.7</v>
      </c>
      <c r="P44" s="77">
        <v>10.7</v>
      </c>
      <c r="Q44" s="77">
        <f t="shared" si="11"/>
        <v>-2.9999999999999991</v>
      </c>
      <c r="R44" s="77"/>
    </row>
    <row r="45" spans="1:20" ht="15" customHeight="1" x14ac:dyDescent="0.3">
      <c r="A45" s="352"/>
      <c r="B45" s="196" t="s">
        <v>83</v>
      </c>
      <c r="C45" s="108">
        <v>16</v>
      </c>
      <c r="D45" s="15"/>
      <c r="E45" s="197">
        <v>8</v>
      </c>
      <c r="F45" s="138">
        <f t="shared" ref="F45" si="14">C45+D45+E45</f>
        <v>24</v>
      </c>
      <c r="G45" s="117">
        <v>45929</v>
      </c>
      <c r="H45" s="19">
        <v>45930</v>
      </c>
      <c r="I45" s="37">
        <v>45944</v>
      </c>
      <c r="J45" s="37"/>
      <c r="K45" s="161">
        <v>45980</v>
      </c>
      <c r="L45" s="162">
        <f>(K46-G45+1)/7</f>
        <v>15.571428571428571</v>
      </c>
      <c r="M45" s="495" t="s">
        <v>100</v>
      </c>
      <c r="O45" s="77">
        <v>9.6999999999999993</v>
      </c>
      <c r="P45" s="77">
        <v>9.6999999999999993</v>
      </c>
      <c r="Q45" s="77">
        <f t="shared" si="11"/>
        <v>0</v>
      </c>
      <c r="R45" s="77"/>
    </row>
    <row r="46" spans="1:20" ht="15" customHeight="1" x14ac:dyDescent="0.3">
      <c r="A46" s="352"/>
      <c r="B46" s="196"/>
      <c r="C46" s="108"/>
      <c r="D46" s="15"/>
      <c r="E46" s="14"/>
      <c r="F46" s="138"/>
      <c r="G46" s="118"/>
      <c r="H46" s="19">
        <v>45932</v>
      </c>
      <c r="I46" s="19">
        <v>45980</v>
      </c>
      <c r="J46" s="19"/>
      <c r="K46" s="165">
        <v>46037</v>
      </c>
      <c r="L46" s="166"/>
      <c r="M46" s="496"/>
      <c r="O46" s="77">
        <v>9.6</v>
      </c>
      <c r="P46" s="77">
        <v>9.6</v>
      </c>
      <c r="Q46" s="77">
        <f t="shared" si="11"/>
        <v>0</v>
      </c>
      <c r="R46" s="77"/>
      <c r="S46" s="72"/>
    </row>
    <row r="47" spans="1:20" ht="15" customHeight="1" x14ac:dyDescent="0.3">
      <c r="A47" s="352"/>
      <c r="B47" s="198"/>
      <c r="C47" s="109"/>
      <c r="D47" s="29"/>
      <c r="E47" s="28"/>
      <c r="F47" s="139"/>
      <c r="G47" s="119"/>
      <c r="H47" s="33">
        <f t="shared" ref="H47:K47" si="15">(H46-H45+1)/7</f>
        <v>0.42857142857142855</v>
      </c>
      <c r="I47" s="33">
        <f t="shared" si="15"/>
        <v>5.2857142857142856</v>
      </c>
      <c r="J47" s="33"/>
      <c r="K47" s="173">
        <f t="shared" si="15"/>
        <v>8.2857142857142865</v>
      </c>
      <c r="L47" s="174"/>
      <c r="M47" s="497"/>
      <c r="O47" s="77"/>
      <c r="P47" s="77"/>
      <c r="Q47" s="77"/>
      <c r="R47" s="77"/>
    </row>
    <row r="48" spans="1:20" ht="15" customHeight="1" x14ac:dyDescent="0.3">
      <c r="A48" s="352"/>
      <c r="B48" s="175" t="s">
        <v>84</v>
      </c>
      <c r="C48" s="176"/>
      <c r="D48" s="177">
        <v>16</v>
      </c>
      <c r="E48" s="178">
        <v>6</v>
      </c>
      <c r="F48" s="158">
        <f>C48+D48+E48</f>
        <v>22</v>
      </c>
      <c r="G48" s="159">
        <v>45971</v>
      </c>
      <c r="H48" s="161">
        <v>45972</v>
      </c>
      <c r="I48" s="161">
        <v>45981</v>
      </c>
      <c r="J48" s="161">
        <v>46020</v>
      </c>
      <c r="K48" s="161">
        <v>46036</v>
      </c>
      <c r="L48" s="162">
        <f>(K49-G48+1)/7</f>
        <v>13.428571428571429</v>
      </c>
      <c r="M48" s="495" t="s">
        <v>125</v>
      </c>
      <c r="O48" s="77"/>
      <c r="P48" s="77"/>
      <c r="Q48" s="77"/>
      <c r="R48" s="77"/>
    </row>
    <row r="49" spans="1:18" ht="15" customHeight="1" x14ac:dyDescent="0.3">
      <c r="A49" s="352"/>
      <c r="B49" s="179"/>
      <c r="C49" s="155"/>
      <c r="D49" s="156"/>
      <c r="E49" s="180"/>
      <c r="F49" s="158"/>
      <c r="G49" s="164"/>
      <c r="H49" s="160">
        <v>45975</v>
      </c>
      <c r="I49" s="160">
        <v>46017</v>
      </c>
      <c r="J49" s="160">
        <v>46033</v>
      </c>
      <c r="K49" s="165">
        <v>46064</v>
      </c>
      <c r="L49" s="166"/>
      <c r="M49" s="496"/>
      <c r="O49" s="77"/>
      <c r="P49" s="77"/>
      <c r="Q49" s="77"/>
      <c r="R49" s="77"/>
    </row>
    <row r="50" spans="1:18" ht="15" customHeight="1" x14ac:dyDescent="0.3">
      <c r="A50" s="352"/>
      <c r="B50" s="181"/>
      <c r="C50" s="168"/>
      <c r="D50" s="169"/>
      <c r="E50" s="182"/>
      <c r="F50" s="171"/>
      <c r="G50" s="172"/>
      <c r="H50" s="173">
        <f t="shared" ref="H50:K50" si="16">(H49-H48+1)/7</f>
        <v>0.5714285714285714</v>
      </c>
      <c r="I50" s="173">
        <f t="shared" si="16"/>
        <v>5.2857142857142856</v>
      </c>
      <c r="J50" s="188">
        <f t="shared" si="16"/>
        <v>2</v>
      </c>
      <c r="K50" s="173">
        <f t="shared" si="16"/>
        <v>4.1428571428571432</v>
      </c>
      <c r="L50" s="174"/>
      <c r="M50" s="497"/>
      <c r="O50" s="77"/>
      <c r="P50" s="77"/>
      <c r="Q50" s="77"/>
      <c r="R50" s="77"/>
    </row>
    <row r="51" spans="1:18" ht="15" customHeight="1" x14ac:dyDescent="0.3">
      <c r="A51" s="352"/>
      <c r="B51" s="163" t="s">
        <v>85</v>
      </c>
      <c r="C51" s="155">
        <v>9</v>
      </c>
      <c r="D51" s="156">
        <v>7</v>
      </c>
      <c r="E51" s="183">
        <v>3</v>
      </c>
      <c r="F51" s="158">
        <f>C51+D51+E51</f>
        <v>19</v>
      </c>
      <c r="G51" s="159">
        <v>46013</v>
      </c>
      <c r="H51" s="161">
        <v>46014</v>
      </c>
      <c r="I51" s="161">
        <v>46020</v>
      </c>
      <c r="J51" s="161">
        <v>46055</v>
      </c>
      <c r="K51" s="161">
        <v>46064</v>
      </c>
      <c r="L51" s="162">
        <f>(K52-G51+1)/7</f>
        <v>11.428571428571429</v>
      </c>
      <c r="M51" s="495" t="s">
        <v>101</v>
      </c>
      <c r="O51" s="77"/>
      <c r="P51" s="77"/>
      <c r="Q51" s="77"/>
      <c r="R51" s="77"/>
    </row>
    <row r="52" spans="1:18" ht="15" customHeight="1" x14ac:dyDescent="0.3">
      <c r="A52" s="352"/>
      <c r="B52" s="163"/>
      <c r="C52" s="155"/>
      <c r="D52" s="156"/>
      <c r="E52" s="180"/>
      <c r="F52" s="158"/>
      <c r="G52" s="164"/>
      <c r="H52" s="160">
        <v>46017</v>
      </c>
      <c r="I52" s="160">
        <v>46052</v>
      </c>
      <c r="J52" s="160">
        <v>46061</v>
      </c>
      <c r="K52" s="165">
        <v>46092</v>
      </c>
      <c r="L52" s="166"/>
      <c r="M52" s="496"/>
      <c r="O52" s="77"/>
      <c r="P52" s="77"/>
      <c r="Q52" s="77"/>
      <c r="R52" s="77"/>
    </row>
    <row r="53" spans="1:18" ht="15" customHeight="1" x14ac:dyDescent="0.3">
      <c r="A53" s="352"/>
      <c r="B53" s="181"/>
      <c r="C53" s="168"/>
      <c r="D53" s="169"/>
      <c r="E53" s="182"/>
      <c r="F53" s="171"/>
      <c r="G53" s="172"/>
      <c r="H53" s="173">
        <f t="shared" ref="H53:K53" si="17">(H52-H51+1)/7</f>
        <v>0.5714285714285714</v>
      </c>
      <c r="I53" s="173">
        <f t="shared" si="17"/>
        <v>4.7142857142857144</v>
      </c>
      <c r="J53" s="188">
        <f t="shared" si="17"/>
        <v>1</v>
      </c>
      <c r="K53" s="173">
        <f t="shared" si="17"/>
        <v>4.1428571428571432</v>
      </c>
      <c r="L53" s="174"/>
      <c r="M53" s="497"/>
      <c r="O53" s="77"/>
      <c r="P53" s="77"/>
      <c r="Q53" s="77"/>
      <c r="R53" s="77"/>
    </row>
    <row r="54" spans="1:18" ht="15" customHeight="1" x14ac:dyDescent="0.3">
      <c r="A54" s="352"/>
      <c r="B54" s="133" t="s">
        <v>86</v>
      </c>
      <c r="C54" s="127"/>
      <c r="D54" s="126">
        <v>14</v>
      </c>
      <c r="E54" s="184"/>
      <c r="F54" s="141">
        <f t="shared" ref="F54" si="18">C54+D54+E54</f>
        <v>14</v>
      </c>
      <c r="G54" s="18">
        <v>46041</v>
      </c>
      <c r="H54" s="38">
        <v>46042</v>
      </c>
      <c r="I54" s="38">
        <v>46051</v>
      </c>
      <c r="J54" s="38">
        <v>46084</v>
      </c>
      <c r="K54" s="38">
        <v>46091</v>
      </c>
      <c r="L54" s="135">
        <f>(K55-G54+1)/7</f>
        <v>9</v>
      </c>
      <c r="M54" s="492" t="s">
        <v>102</v>
      </c>
      <c r="O54" s="77"/>
      <c r="P54" s="77"/>
      <c r="Q54" s="77"/>
      <c r="R54" s="77"/>
    </row>
    <row r="55" spans="1:18" ht="15" customHeight="1" x14ac:dyDescent="0.3">
      <c r="A55" s="352"/>
      <c r="B55" s="133"/>
      <c r="C55" s="127"/>
      <c r="D55" s="126"/>
      <c r="E55" s="185"/>
      <c r="F55" s="141"/>
      <c r="G55" s="22"/>
      <c r="H55" s="20">
        <v>46045</v>
      </c>
      <c r="I55" s="20">
        <v>46080</v>
      </c>
      <c r="J55" s="20">
        <v>46089</v>
      </c>
      <c r="K55" s="23">
        <v>46103</v>
      </c>
      <c r="L55" s="136"/>
      <c r="M55" s="493"/>
      <c r="O55" s="77"/>
      <c r="P55" s="77"/>
      <c r="Q55" s="77"/>
      <c r="R55" s="77"/>
    </row>
    <row r="56" spans="1:18" ht="15" customHeight="1" x14ac:dyDescent="0.3">
      <c r="A56" s="352"/>
      <c r="B56" s="134"/>
      <c r="C56" s="129"/>
      <c r="D56" s="130"/>
      <c r="E56" s="186"/>
      <c r="F56" s="142"/>
      <c r="G56" s="32"/>
      <c r="H56" s="34">
        <f t="shared" ref="H56:K56" si="19">(H55-H54+1)/7</f>
        <v>0.5714285714285714</v>
      </c>
      <c r="I56" s="34">
        <f t="shared" si="19"/>
        <v>4.2857142857142856</v>
      </c>
      <c r="J56" s="189">
        <f t="shared" si="19"/>
        <v>0.8571428571428571</v>
      </c>
      <c r="K56" s="34">
        <f t="shared" si="19"/>
        <v>1.8571428571428572</v>
      </c>
      <c r="L56" s="137"/>
      <c r="M56" s="494"/>
      <c r="O56" s="77"/>
      <c r="P56" s="77"/>
      <c r="Q56" s="77"/>
      <c r="R56" s="77"/>
    </row>
    <row r="57" spans="1:18" ht="15" customHeight="1" x14ac:dyDescent="0.3">
      <c r="A57" s="352"/>
      <c r="B57" s="133" t="s">
        <v>87</v>
      </c>
      <c r="C57" s="127"/>
      <c r="D57" s="126">
        <v>18</v>
      </c>
      <c r="E57" s="128"/>
      <c r="F57" s="141">
        <f t="shared" ref="F57" si="20">C57+D57+E57</f>
        <v>18</v>
      </c>
      <c r="G57" s="18">
        <v>46076</v>
      </c>
      <c r="H57" s="38">
        <v>46077</v>
      </c>
      <c r="I57" s="38">
        <v>46084</v>
      </c>
      <c r="J57" s="38"/>
      <c r="K57" s="38">
        <v>46118</v>
      </c>
      <c r="L57" s="135">
        <f>(K58-G57+1)/7</f>
        <v>8.7142857142857135</v>
      </c>
      <c r="M57" s="492" t="s">
        <v>103</v>
      </c>
      <c r="O57" s="77"/>
      <c r="P57" s="77"/>
      <c r="Q57" s="77"/>
      <c r="R57" s="77"/>
    </row>
    <row r="58" spans="1:18" ht="15" customHeight="1" x14ac:dyDescent="0.3">
      <c r="A58" s="352"/>
      <c r="B58" s="133"/>
      <c r="C58" s="127"/>
      <c r="D58" s="126"/>
      <c r="E58" s="128"/>
      <c r="F58" s="141"/>
      <c r="G58" s="22"/>
      <c r="H58" s="20">
        <v>46080</v>
      </c>
      <c r="I58" s="20">
        <v>46113</v>
      </c>
      <c r="J58" s="20"/>
      <c r="K58" s="23">
        <v>46136</v>
      </c>
      <c r="L58" s="136"/>
      <c r="M58" s="493"/>
      <c r="O58" s="77"/>
      <c r="P58" s="77"/>
      <c r="Q58" s="77"/>
      <c r="R58" s="77"/>
    </row>
    <row r="59" spans="1:18" ht="15" customHeight="1" x14ac:dyDescent="0.3">
      <c r="A59" s="352"/>
      <c r="B59" s="134"/>
      <c r="C59" s="129"/>
      <c r="D59" s="130"/>
      <c r="E59" s="131"/>
      <c r="F59" s="142"/>
      <c r="G59" s="32"/>
      <c r="H59" s="34">
        <f t="shared" ref="H59:K59" si="21">(H58-H57+1)/7</f>
        <v>0.5714285714285714</v>
      </c>
      <c r="I59" s="34">
        <f t="shared" si="21"/>
        <v>4.2857142857142856</v>
      </c>
      <c r="J59" s="189"/>
      <c r="K59" s="34">
        <f t="shared" si="21"/>
        <v>2.7142857142857144</v>
      </c>
      <c r="L59" s="137"/>
      <c r="M59" s="494"/>
      <c r="O59" s="77"/>
      <c r="P59" s="77"/>
      <c r="Q59" s="77"/>
      <c r="R59" s="77"/>
    </row>
    <row r="60" spans="1:18" ht="15" customHeight="1" x14ac:dyDescent="0.3">
      <c r="A60" s="352"/>
      <c r="B60" s="133" t="s">
        <v>88</v>
      </c>
      <c r="C60" s="127"/>
      <c r="D60" s="126">
        <v>19</v>
      </c>
      <c r="E60" s="128"/>
      <c r="F60" s="141">
        <f t="shared" ref="F60" si="22">C60+D60+E60</f>
        <v>19</v>
      </c>
      <c r="G60" s="18">
        <v>46104</v>
      </c>
      <c r="H60" s="38">
        <v>46105</v>
      </c>
      <c r="I60" s="38">
        <v>46114</v>
      </c>
      <c r="J60" s="20"/>
      <c r="K60" s="38">
        <v>46146</v>
      </c>
      <c r="L60" s="135">
        <f>(K61-G60+1)/7</f>
        <v>8.7142857142857135</v>
      </c>
      <c r="M60" s="492" t="s">
        <v>104</v>
      </c>
      <c r="O60" s="77"/>
      <c r="P60" s="77"/>
      <c r="Q60" s="77"/>
      <c r="R60" s="77"/>
    </row>
    <row r="61" spans="1:18" ht="15" customHeight="1" x14ac:dyDescent="0.3">
      <c r="A61" s="352"/>
      <c r="B61" s="133"/>
      <c r="C61" s="127"/>
      <c r="D61" s="126"/>
      <c r="E61" s="128"/>
      <c r="F61" s="141"/>
      <c r="G61" s="22"/>
      <c r="H61" s="20">
        <v>46108</v>
      </c>
      <c r="I61" s="20">
        <v>46142</v>
      </c>
      <c r="J61" s="20"/>
      <c r="K61" s="23">
        <v>46164</v>
      </c>
      <c r="L61" s="136"/>
      <c r="M61" s="493"/>
      <c r="O61" s="77"/>
      <c r="P61" s="77"/>
      <c r="Q61" s="77"/>
      <c r="R61" s="77"/>
    </row>
    <row r="62" spans="1:18" ht="15" customHeight="1" thickBot="1" x14ac:dyDescent="0.35">
      <c r="A62" s="353"/>
      <c r="B62" s="149"/>
      <c r="C62" s="150"/>
      <c r="D62" s="151"/>
      <c r="E62" s="152"/>
      <c r="F62" s="153"/>
      <c r="G62" s="52"/>
      <c r="H62" s="54">
        <f t="shared" ref="H62:K62" si="23">(H61-H60+1)/7</f>
        <v>0.5714285714285714</v>
      </c>
      <c r="I62" s="54">
        <f t="shared" si="23"/>
        <v>4.1428571428571432</v>
      </c>
      <c r="J62" s="190"/>
      <c r="K62" s="54">
        <f t="shared" si="23"/>
        <v>2.7142857142857144</v>
      </c>
      <c r="L62" s="154"/>
      <c r="M62" s="498"/>
      <c r="O62" s="77"/>
      <c r="P62" s="77"/>
      <c r="Q62" s="77"/>
      <c r="R62" s="77"/>
    </row>
    <row r="63" spans="1:18" ht="24" customHeight="1" thickBot="1" x14ac:dyDescent="0.35">
      <c r="A63" s="343" t="s">
        <v>10</v>
      </c>
      <c r="B63" s="344"/>
      <c r="C63" s="112">
        <f>SUM(C33:C62)</f>
        <v>87</v>
      </c>
      <c r="D63" s="114">
        <f t="shared" ref="D63:E63" si="24">SUM(D33:D62)</f>
        <v>74</v>
      </c>
      <c r="E63" s="57">
        <f t="shared" si="24"/>
        <v>17</v>
      </c>
      <c r="F63" s="140">
        <f>SUM(C63:E63)</f>
        <v>178</v>
      </c>
      <c r="G63" s="453" t="s">
        <v>42</v>
      </c>
      <c r="H63" s="454"/>
      <c r="I63" s="454"/>
      <c r="J63" s="454"/>
      <c r="K63" s="455"/>
      <c r="L63" s="61">
        <f>AVERAGE(L33:L62)</f>
        <v>11.27142857142857</v>
      </c>
      <c r="M63" s="62" t="s">
        <v>41</v>
      </c>
    </row>
    <row r="64" spans="1:18" ht="24" customHeight="1" thickBot="1" x14ac:dyDescent="0.35">
      <c r="A64" s="345" t="s">
        <v>69</v>
      </c>
      <c r="B64" s="346"/>
      <c r="C64" s="112">
        <f>C32+C63</f>
        <v>111</v>
      </c>
      <c r="D64" s="114">
        <f t="shared" ref="D64:E64" si="25">D32+D63</f>
        <v>123</v>
      </c>
      <c r="E64" s="57">
        <f t="shared" si="25"/>
        <v>17</v>
      </c>
      <c r="F64" s="140">
        <f>SUM(C64:E64)</f>
        <v>251</v>
      </c>
      <c r="G64" s="456" t="s">
        <v>70</v>
      </c>
      <c r="H64" s="457"/>
      <c r="I64" s="457"/>
      <c r="J64" s="457"/>
      <c r="K64" s="458"/>
      <c r="L64" s="61">
        <f>AVERAGE(L32,L63)</f>
        <v>11.302380952380952</v>
      </c>
      <c r="M64" s="62" t="s">
        <v>41</v>
      </c>
    </row>
    <row r="65" spans="1:13" ht="45.75" customHeight="1" x14ac:dyDescent="0.3">
      <c r="A65" s="347" t="s">
        <v>71</v>
      </c>
      <c r="B65" s="347"/>
      <c r="C65" s="347"/>
      <c r="D65" s="347"/>
      <c r="E65" s="347"/>
      <c r="F65" s="347"/>
      <c r="G65" s="347"/>
      <c r="H65" s="347"/>
      <c r="I65" s="347"/>
      <c r="J65" s="347"/>
      <c r="K65" s="347"/>
      <c r="L65" s="347"/>
      <c r="M65" s="347"/>
    </row>
    <row r="66" spans="1:13" ht="17.25" x14ac:dyDescent="0.3">
      <c r="A66" s="194"/>
      <c r="H66" s="39"/>
    </row>
    <row r="67" spans="1:13" x14ac:dyDescent="0.3">
      <c r="G67" s="39"/>
      <c r="H67" s="39"/>
    </row>
    <row r="68" spans="1:13" x14ac:dyDescent="0.3">
      <c r="C68" s="39"/>
      <c r="D68" s="39"/>
      <c r="G68" s="39"/>
    </row>
  </sheetData>
  <mergeCells count="56">
    <mergeCell ref="A64:B64"/>
    <mergeCell ref="G64:K64"/>
    <mergeCell ref="A65:M65"/>
    <mergeCell ref="M51:M53"/>
    <mergeCell ref="M54:M56"/>
    <mergeCell ref="M57:M59"/>
    <mergeCell ref="M60:M62"/>
    <mergeCell ref="A63:B63"/>
    <mergeCell ref="G63:K63"/>
    <mergeCell ref="A32:B32"/>
    <mergeCell ref="G32:K32"/>
    <mergeCell ref="O32:P32"/>
    <mergeCell ref="A33:A62"/>
    <mergeCell ref="M33:M35"/>
    <mergeCell ref="M36:M38"/>
    <mergeCell ref="M39:M41"/>
    <mergeCell ref="M42:M44"/>
    <mergeCell ref="M45:M47"/>
    <mergeCell ref="M48:M50"/>
    <mergeCell ref="A14:A31"/>
    <mergeCell ref="M14:M16"/>
    <mergeCell ref="M17:M19"/>
    <mergeCell ref="M20:M22"/>
    <mergeCell ref="M23:M25"/>
    <mergeCell ref="M26:M28"/>
    <mergeCell ref="M29:M31"/>
    <mergeCell ref="M11:M13"/>
    <mergeCell ref="C12:D12"/>
    <mergeCell ref="G12:L12"/>
    <mergeCell ref="A8:B8"/>
    <mergeCell ref="C8:F8"/>
    <mergeCell ref="G8:H8"/>
    <mergeCell ref="I8:M8"/>
    <mergeCell ref="A10:B10"/>
    <mergeCell ref="G10:M10"/>
    <mergeCell ref="A11:A13"/>
    <mergeCell ref="B11:B13"/>
    <mergeCell ref="C11:E11"/>
    <mergeCell ref="F11:F13"/>
    <mergeCell ref="G11:L11"/>
    <mergeCell ref="A5:B5"/>
    <mergeCell ref="C5:F5"/>
    <mergeCell ref="G5:H5"/>
    <mergeCell ref="I5:M7"/>
    <mergeCell ref="A6:B6"/>
    <mergeCell ref="C6:F6"/>
    <mergeCell ref="G6:H6"/>
    <mergeCell ref="A7:B7"/>
    <mergeCell ref="C7:F7"/>
    <mergeCell ref="G7:H7"/>
    <mergeCell ref="A1:M1"/>
    <mergeCell ref="A3:B3"/>
    <mergeCell ref="A4:B4"/>
    <mergeCell ref="C4:F4"/>
    <mergeCell ref="G4:H4"/>
    <mergeCell ref="I4:M4"/>
  </mergeCells>
  <phoneticPr fontId="2" type="noConversion"/>
  <printOptions horizontalCentered="1"/>
  <pageMargins left="0.31496062992125984" right="0.31496062992125984" top="0.74803149606299213" bottom="0.39370078740157483" header="0.31496062992125984" footer="0.31496062992125984"/>
  <pageSetup paperSize="9" scale="61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AC393-DEAC-4182-8D00-771A7EE934F7}">
  <sheetPr>
    <pageSetUpPr fitToPage="1"/>
  </sheetPr>
  <dimension ref="A1:T68"/>
  <sheetViews>
    <sheetView showGridLines="0" workbookViewId="0">
      <selection activeCell="G51" sqref="G51"/>
    </sheetView>
  </sheetViews>
  <sheetFormatPr defaultColWidth="9" defaultRowHeight="16.5" x14ac:dyDescent="0.3"/>
  <cols>
    <col min="1" max="1" width="10.5" style="5" customWidth="1"/>
    <col min="2" max="2" width="12.125" style="5" customWidth="1"/>
    <col min="3" max="6" width="6.375" style="5" customWidth="1"/>
    <col min="7" max="12" width="11.625" style="5" customWidth="1"/>
    <col min="13" max="13" width="16.25" style="100" customWidth="1"/>
    <col min="14" max="14" width="5.625" style="5" customWidth="1"/>
    <col min="15" max="15" width="15.625" style="5" hidden="1" customWidth="1"/>
    <col min="16" max="17" width="11.75" style="5" hidden="1" customWidth="1"/>
    <col min="18" max="23" width="8.75" style="5" customWidth="1"/>
    <col min="24" max="16384" width="9" style="5"/>
  </cols>
  <sheetData>
    <row r="1" spans="1:19" s="1" customFormat="1" ht="39" customHeight="1" x14ac:dyDescent="0.3">
      <c r="A1" s="471" t="s">
        <v>72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</row>
    <row r="2" spans="1:19" ht="22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>
        <v>45874</v>
      </c>
    </row>
    <row r="3" spans="1:19" ht="24" customHeight="1" x14ac:dyDescent="0.3">
      <c r="A3" s="418" t="s">
        <v>0</v>
      </c>
      <c r="B3" s="419"/>
      <c r="C3" s="2"/>
      <c r="D3" s="2"/>
      <c r="E3" s="2"/>
      <c r="F3" s="2"/>
      <c r="G3" s="6"/>
      <c r="H3" s="6"/>
      <c r="I3" s="6"/>
      <c r="J3" s="6"/>
      <c r="K3" s="6"/>
      <c r="L3" s="6"/>
      <c r="M3" s="7"/>
    </row>
    <row r="4" spans="1:19" ht="35.25" customHeight="1" thickBot="1" x14ac:dyDescent="0.35">
      <c r="A4" s="420" t="s">
        <v>1</v>
      </c>
      <c r="B4" s="421"/>
      <c r="C4" s="422" t="s">
        <v>94</v>
      </c>
      <c r="D4" s="423"/>
      <c r="E4" s="424"/>
      <c r="F4" s="420"/>
      <c r="G4" s="422" t="s">
        <v>95</v>
      </c>
      <c r="H4" s="420"/>
      <c r="I4" s="426" t="s">
        <v>5</v>
      </c>
      <c r="J4" s="424"/>
      <c r="K4" s="424"/>
      <c r="L4" s="424"/>
      <c r="M4" s="424"/>
    </row>
    <row r="5" spans="1:19" ht="24" customHeight="1" x14ac:dyDescent="0.3">
      <c r="A5" s="427" t="s">
        <v>8</v>
      </c>
      <c r="B5" s="428"/>
      <c r="C5" s="429"/>
      <c r="D5" s="430"/>
      <c r="E5" s="430"/>
      <c r="F5" s="431"/>
      <c r="G5" s="429"/>
      <c r="H5" s="431"/>
      <c r="I5" s="434" t="s">
        <v>113</v>
      </c>
      <c r="J5" s="435"/>
      <c r="K5" s="466"/>
      <c r="L5" s="466"/>
      <c r="M5" s="466"/>
    </row>
    <row r="6" spans="1:19" ht="24" customHeight="1" x14ac:dyDescent="0.3">
      <c r="A6" s="440" t="s">
        <v>9</v>
      </c>
      <c r="B6" s="441"/>
      <c r="C6" s="442">
        <f>SUM(F20:F29,F33:F53)</f>
        <v>170</v>
      </c>
      <c r="D6" s="443"/>
      <c r="E6" s="443"/>
      <c r="F6" s="444"/>
      <c r="G6" s="442"/>
      <c r="H6" s="444"/>
      <c r="I6" s="467"/>
      <c r="J6" s="468"/>
      <c r="K6" s="468"/>
      <c r="L6" s="468"/>
      <c r="M6" s="468"/>
    </row>
    <row r="7" spans="1:19" ht="24" customHeight="1" thickBot="1" x14ac:dyDescent="0.35">
      <c r="A7" s="445" t="s">
        <v>73</v>
      </c>
      <c r="B7" s="446"/>
      <c r="C7" s="392"/>
      <c r="D7" s="447"/>
      <c r="E7" s="447"/>
      <c r="F7" s="393"/>
      <c r="G7" s="392">
        <f>SUM(F45:F62)</f>
        <v>118</v>
      </c>
      <c r="H7" s="393"/>
      <c r="I7" s="469"/>
      <c r="J7" s="470"/>
      <c r="K7" s="470"/>
      <c r="L7" s="470"/>
      <c r="M7" s="470"/>
    </row>
    <row r="8" spans="1:19" ht="24" customHeight="1" x14ac:dyDescent="0.3">
      <c r="A8" s="407" t="s">
        <v>10</v>
      </c>
      <c r="B8" s="408"/>
      <c r="C8" s="409">
        <f>SUM(C5:F7)</f>
        <v>170</v>
      </c>
      <c r="D8" s="410"/>
      <c r="E8" s="410"/>
      <c r="F8" s="411"/>
      <c r="G8" s="409">
        <f>G7</f>
        <v>118</v>
      </c>
      <c r="H8" s="411"/>
      <c r="I8" s="412"/>
      <c r="J8" s="414"/>
      <c r="K8" s="414"/>
      <c r="L8" s="414"/>
      <c r="M8" s="414"/>
    </row>
    <row r="9" spans="1:19" ht="12" customHeight="1" x14ac:dyDescent="0.3">
      <c r="A9" s="8"/>
      <c r="B9" s="8"/>
      <c r="C9" s="8"/>
      <c r="D9" s="8"/>
      <c r="E9" s="8"/>
      <c r="F9" s="8"/>
      <c r="G9" s="125"/>
      <c r="H9" s="8"/>
      <c r="I9" s="8"/>
      <c r="J9" s="8"/>
      <c r="K9" s="8"/>
      <c r="L9" s="8"/>
      <c r="M9" s="8"/>
      <c r="R9" s="39"/>
    </row>
    <row r="10" spans="1:19" ht="29.25" customHeight="1" thickBot="1" x14ac:dyDescent="0.35">
      <c r="A10" s="415" t="s">
        <v>11</v>
      </c>
      <c r="B10" s="416"/>
      <c r="C10" s="8"/>
      <c r="D10" s="8"/>
      <c r="E10" s="8"/>
      <c r="F10" s="8"/>
      <c r="G10" s="472" t="s">
        <v>121</v>
      </c>
      <c r="H10" s="472"/>
      <c r="I10" s="472"/>
      <c r="J10" s="472"/>
      <c r="K10" s="472"/>
      <c r="L10" s="472"/>
      <c r="M10" s="472"/>
    </row>
    <row r="11" spans="1:19" ht="36" customHeight="1" x14ac:dyDescent="0.3">
      <c r="A11" s="394" t="s">
        <v>12</v>
      </c>
      <c r="B11" s="397" t="s">
        <v>13</v>
      </c>
      <c r="C11" s="399" t="s">
        <v>14</v>
      </c>
      <c r="D11" s="399"/>
      <c r="E11" s="400"/>
      <c r="F11" s="401" t="s">
        <v>15</v>
      </c>
      <c r="G11" s="404" t="s">
        <v>18</v>
      </c>
      <c r="H11" s="405"/>
      <c r="I11" s="405"/>
      <c r="J11" s="405"/>
      <c r="K11" s="405"/>
      <c r="L11" s="406"/>
      <c r="M11" s="460" t="s">
        <v>19</v>
      </c>
    </row>
    <row r="12" spans="1:19" ht="22.5" customHeight="1" x14ac:dyDescent="0.3">
      <c r="A12" s="395"/>
      <c r="B12" s="398"/>
      <c r="C12" s="463" t="s">
        <v>96</v>
      </c>
      <c r="D12" s="464"/>
      <c r="E12" s="113" t="s">
        <v>97</v>
      </c>
      <c r="F12" s="402"/>
      <c r="G12" s="465" t="s">
        <v>114</v>
      </c>
      <c r="H12" s="382"/>
      <c r="I12" s="382"/>
      <c r="J12" s="382"/>
      <c r="K12" s="382"/>
      <c r="L12" s="383"/>
      <c r="M12" s="461"/>
    </row>
    <row r="13" spans="1:19" ht="35.25" customHeight="1" thickBot="1" x14ac:dyDescent="0.35">
      <c r="A13" s="396"/>
      <c r="B13" s="385"/>
      <c r="C13" s="107" t="s">
        <v>98</v>
      </c>
      <c r="D13" s="104" t="s">
        <v>99</v>
      </c>
      <c r="E13" s="104" t="s">
        <v>98</v>
      </c>
      <c r="F13" s="403"/>
      <c r="G13" s="9" t="s">
        <v>23</v>
      </c>
      <c r="H13" s="10" t="s">
        <v>24</v>
      </c>
      <c r="I13" s="10" t="s">
        <v>25</v>
      </c>
      <c r="J13" s="10" t="s">
        <v>111</v>
      </c>
      <c r="K13" s="11" t="s">
        <v>26</v>
      </c>
      <c r="L13" s="12" t="s">
        <v>27</v>
      </c>
      <c r="M13" s="462"/>
    </row>
    <row r="14" spans="1:19" ht="16.5" customHeight="1" x14ac:dyDescent="0.3">
      <c r="A14" s="351" t="s">
        <v>44</v>
      </c>
      <c r="B14" s="13" t="s">
        <v>58</v>
      </c>
      <c r="C14" s="108">
        <v>13</v>
      </c>
      <c r="D14" s="15">
        <v>3</v>
      </c>
      <c r="E14" s="14"/>
      <c r="F14" s="138">
        <f>C14+D14+E14</f>
        <v>16</v>
      </c>
      <c r="G14" s="117">
        <v>45600</v>
      </c>
      <c r="H14" s="19">
        <v>45601</v>
      </c>
      <c r="I14" s="37">
        <v>45608</v>
      </c>
      <c r="J14" s="37"/>
      <c r="K14" s="37">
        <v>45643</v>
      </c>
      <c r="L14" s="21">
        <f>(K15-G14+1)/7</f>
        <v>11.714285714285714</v>
      </c>
      <c r="M14" s="473" t="s">
        <v>120</v>
      </c>
    </row>
    <row r="15" spans="1:19" ht="16.5" customHeight="1" x14ac:dyDescent="0.3">
      <c r="A15" s="352"/>
      <c r="B15" s="13"/>
      <c r="C15" s="108"/>
      <c r="D15" s="15"/>
      <c r="E15" s="14"/>
      <c r="F15" s="138"/>
      <c r="G15" s="101"/>
      <c r="H15" s="19">
        <v>45603</v>
      </c>
      <c r="I15" s="19">
        <v>45643</v>
      </c>
      <c r="J15" s="19"/>
      <c r="K15" s="120">
        <v>45681</v>
      </c>
      <c r="L15" s="24"/>
      <c r="M15" s="474"/>
      <c r="S15" s="26"/>
    </row>
    <row r="16" spans="1:19" ht="16.5" customHeight="1" x14ac:dyDescent="0.3">
      <c r="A16" s="352"/>
      <c r="B16" s="27"/>
      <c r="C16" s="109"/>
      <c r="D16" s="29"/>
      <c r="E16" s="28"/>
      <c r="F16" s="139"/>
      <c r="G16" s="102"/>
      <c r="H16" s="33">
        <f t="shared" ref="H16" si="0">(H15-H14+1)/7</f>
        <v>0.42857142857142855</v>
      </c>
      <c r="I16" s="33">
        <f>(I15-I14+1)/7</f>
        <v>5.1428571428571432</v>
      </c>
      <c r="J16" s="33"/>
      <c r="K16" s="33">
        <f>(K15-K14+1)/7</f>
        <v>5.5714285714285712</v>
      </c>
      <c r="L16" s="35"/>
      <c r="M16" s="475"/>
    </row>
    <row r="17" spans="1:19" ht="16.5" customHeight="1" x14ac:dyDescent="0.3">
      <c r="A17" s="352"/>
      <c r="B17" s="41" t="s">
        <v>60</v>
      </c>
      <c r="C17" s="110">
        <v>7</v>
      </c>
      <c r="D17" s="43">
        <v>9</v>
      </c>
      <c r="E17" s="42"/>
      <c r="F17" s="138">
        <f t="shared" ref="F17" si="1">C17+D17+E17</f>
        <v>16</v>
      </c>
      <c r="G17" s="117">
        <v>45635</v>
      </c>
      <c r="H17" s="19">
        <v>45636</v>
      </c>
      <c r="I17" s="37">
        <v>45642</v>
      </c>
      <c r="J17" s="37"/>
      <c r="K17" s="37">
        <v>45691</v>
      </c>
      <c r="L17" s="21">
        <f>(K18-G17+1)/7</f>
        <v>13.285714285714286</v>
      </c>
      <c r="M17" s="476" t="s">
        <v>115</v>
      </c>
      <c r="O17" s="26"/>
      <c r="R17" s="39"/>
      <c r="S17" s="39"/>
    </row>
    <row r="18" spans="1:19" ht="16.5" customHeight="1" x14ac:dyDescent="0.3">
      <c r="A18" s="352"/>
      <c r="B18" s="13"/>
      <c r="C18" s="108"/>
      <c r="D18" s="15"/>
      <c r="E18" s="14"/>
      <c r="F18" s="138"/>
      <c r="G18" s="118"/>
      <c r="H18" s="19">
        <v>45638</v>
      </c>
      <c r="I18" s="19">
        <v>45681</v>
      </c>
      <c r="J18" s="19"/>
      <c r="K18" s="120">
        <v>45727</v>
      </c>
      <c r="L18" s="24"/>
      <c r="M18" s="474"/>
      <c r="R18" s="39"/>
    </row>
    <row r="19" spans="1:19" ht="16.5" customHeight="1" x14ac:dyDescent="0.3">
      <c r="A19" s="352"/>
      <c r="B19" s="27"/>
      <c r="C19" s="109"/>
      <c r="D19" s="29"/>
      <c r="E19" s="28"/>
      <c r="F19" s="139"/>
      <c r="G19" s="119"/>
      <c r="H19" s="33">
        <f>(H18-H17+1)/7</f>
        <v>0.42857142857142855</v>
      </c>
      <c r="I19" s="33">
        <f>(I18-I17+1)/7</f>
        <v>5.7142857142857144</v>
      </c>
      <c r="J19" s="33"/>
      <c r="K19" s="33">
        <f>(K18-K17+1)/7</f>
        <v>5.2857142857142856</v>
      </c>
      <c r="L19" s="35"/>
      <c r="M19" s="475"/>
    </row>
    <row r="20" spans="1:19" ht="16.5" customHeight="1" x14ac:dyDescent="0.3">
      <c r="A20" s="352"/>
      <c r="B20" s="13" t="s">
        <v>62</v>
      </c>
      <c r="C20" s="108"/>
      <c r="D20" s="15">
        <v>12</v>
      </c>
      <c r="E20" s="14"/>
      <c r="F20" s="138">
        <f t="shared" ref="F20" si="2">C20+D20+E20</f>
        <v>12</v>
      </c>
      <c r="G20" s="106">
        <v>45677</v>
      </c>
      <c r="H20" s="19">
        <v>45678</v>
      </c>
      <c r="I20" s="19">
        <v>45691</v>
      </c>
      <c r="J20" s="19"/>
      <c r="K20" s="19">
        <v>45728</v>
      </c>
      <c r="L20" s="24">
        <f>(K21-G20+1)/7</f>
        <v>10.142857142857142</v>
      </c>
      <c r="M20" s="477" t="s">
        <v>116</v>
      </c>
      <c r="O20" s="26"/>
      <c r="R20" s="39"/>
    </row>
    <row r="21" spans="1:19" ht="16.5" customHeight="1" x14ac:dyDescent="0.3">
      <c r="A21" s="352"/>
      <c r="B21" s="13"/>
      <c r="C21" s="108"/>
      <c r="D21" s="15"/>
      <c r="E21" s="14"/>
      <c r="F21" s="138"/>
      <c r="G21" s="118"/>
      <c r="H21" s="19">
        <v>45680</v>
      </c>
      <c r="I21" s="19">
        <v>45720</v>
      </c>
      <c r="J21" s="19"/>
      <c r="K21" s="120">
        <v>45747</v>
      </c>
      <c r="L21" s="24"/>
      <c r="M21" s="474"/>
    </row>
    <row r="22" spans="1:19" ht="16.5" customHeight="1" x14ac:dyDescent="0.3">
      <c r="A22" s="352"/>
      <c r="B22" s="27"/>
      <c r="C22" s="109"/>
      <c r="D22" s="29"/>
      <c r="E22" s="28"/>
      <c r="F22" s="139"/>
      <c r="G22" s="119"/>
      <c r="H22" s="33">
        <f>(H21-H20+1)/7</f>
        <v>0.42857142857142855</v>
      </c>
      <c r="I22" s="33">
        <f>(I21-I20+1)/7</f>
        <v>4.2857142857142856</v>
      </c>
      <c r="J22" s="33"/>
      <c r="K22" s="33">
        <f>(K21-K20+1)/7</f>
        <v>2.8571428571428572</v>
      </c>
      <c r="L22" s="35"/>
      <c r="M22" s="475"/>
    </row>
    <row r="23" spans="1:19" ht="16.5" customHeight="1" x14ac:dyDescent="0.3">
      <c r="A23" s="352"/>
      <c r="B23" s="41" t="s">
        <v>64</v>
      </c>
      <c r="C23" s="110"/>
      <c r="D23" s="43">
        <v>9</v>
      </c>
      <c r="E23" s="42"/>
      <c r="F23" s="138">
        <f t="shared" ref="F23" si="3">C23+D23+E23</f>
        <v>9</v>
      </c>
      <c r="G23" s="117">
        <v>45712</v>
      </c>
      <c r="H23" s="37">
        <v>45713</v>
      </c>
      <c r="I23" s="37">
        <v>45721</v>
      </c>
      <c r="J23" s="37"/>
      <c r="K23" s="37">
        <v>45749</v>
      </c>
      <c r="L23" s="21">
        <f>(K24-G23+1)/7</f>
        <v>9.2857142857142865</v>
      </c>
      <c r="M23" s="473" t="s">
        <v>117</v>
      </c>
      <c r="O23" s="26"/>
    </row>
    <row r="24" spans="1:19" ht="16.5" customHeight="1" x14ac:dyDescent="0.3">
      <c r="A24" s="352"/>
      <c r="B24" s="13"/>
      <c r="C24" s="108"/>
      <c r="D24" s="15"/>
      <c r="E24" s="14"/>
      <c r="F24" s="138"/>
      <c r="G24" s="118"/>
      <c r="H24" s="19">
        <v>45715</v>
      </c>
      <c r="I24" s="19">
        <v>45754</v>
      </c>
      <c r="J24" s="19"/>
      <c r="K24" s="120">
        <v>45776</v>
      </c>
      <c r="L24" s="24"/>
      <c r="M24" s="474"/>
    </row>
    <row r="25" spans="1:19" ht="16.5" customHeight="1" x14ac:dyDescent="0.3">
      <c r="A25" s="352"/>
      <c r="B25" s="27"/>
      <c r="C25" s="109"/>
      <c r="D25" s="29"/>
      <c r="E25" s="28"/>
      <c r="F25" s="139"/>
      <c r="G25" s="119"/>
      <c r="H25" s="33">
        <f>(H24-H23+1)/7</f>
        <v>0.42857142857142855</v>
      </c>
      <c r="I25" s="33">
        <f>(I24-I23+1)/7</f>
        <v>4.8571428571428568</v>
      </c>
      <c r="J25" s="33"/>
      <c r="K25" s="33">
        <f>(K24-K23+1)/7</f>
        <v>4</v>
      </c>
      <c r="L25" s="35"/>
      <c r="M25" s="475"/>
    </row>
    <row r="26" spans="1:19" ht="16.5" customHeight="1" x14ac:dyDescent="0.3">
      <c r="A26" s="352"/>
      <c r="B26" s="41" t="s">
        <v>66</v>
      </c>
      <c r="C26" s="110">
        <v>4</v>
      </c>
      <c r="D26" s="43"/>
      <c r="E26" s="42"/>
      <c r="F26" s="138">
        <f t="shared" ref="F26" si="4">C26+D26+E26</f>
        <v>4</v>
      </c>
      <c r="G26" s="117">
        <v>45726</v>
      </c>
      <c r="H26" s="37">
        <v>45727</v>
      </c>
      <c r="I26" s="37">
        <v>45733</v>
      </c>
      <c r="J26" s="37">
        <v>45768</v>
      </c>
      <c r="K26" s="37">
        <v>45784</v>
      </c>
      <c r="L26" s="21">
        <f>(K27-G26+1)/7</f>
        <v>11.142857142857142</v>
      </c>
      <c r="M26" s="473" t="s">
        <v>118</v>
      </c>
    </row>
    <row r="27" spans="1:19" ht="16.5" customHeight="1" x14ac:dyDescent="0.3">
      <c r="A27" s="352"/>
      <c r="B27" s="13"/>
      <c r="C27" s="108"/>
      <c r="D27" s="15"/>
      <c r="E27" s="14"/>
      <c r="F27" s="138"/>
      <c r="G27" s="101"/>
      <c r="H27" s="19">
        <v>45729</v>
      </c>
      <c r="I27" s="19">
        <v>45763</v>
      </c>
      <c r="J27" s="19">
        <v>45781</v>
      </c>
      <c r="K27" s="120">
        <v>45803</v>
      </c>
      <c r="L27" s="24"/>
      <c r="M27" s="474"/>
    </row>
    <row r="28" spans="1:19" ht="16.5" customHeight="1" x14ac:dyDescent="0.3">
      <c r="A28" s="352"/>
      <c r="B28" s="27"/>
      <c r="C28" s="109"/>
      <c r="D28" s="29"/>
      <c r="E28" s="28"/>
      <c r="F28" s="139"/>
      <c r="G28" s="102"/>
      <c r="H28" s="33">
        <f>(H27-H26+1)/7</f>
        <v>0.42857142857142855</v>
      </c>
      <c r="I28" s="33">
        <f>(I27-I26+1)/7</f>
        <v>4.4285714285714288</v>
      </c>
      <c r="J28" s="33">
        <f t="shared" ref="J28" si="5">(J27-J26+1)/7</f>
        <v>2</v>
      </c>
      <c r="K28" s="33">
        <f>(K27-K26+1)/7</f>
        <v>2.8571428571428572</v>
      </c>
      <c r="L28" s="35"/>
      <c r="M28" s="475"/>
    </row>
    <row r="29" spans="1:19" ht="16.5" customHeight="1" x14ac:dyDescent="0.3">
      <c r="A29" s="352"/>
      <c r="B29" s="41" t="s">
        <v>67</v>
      </c>
      <c r="C29" s="110"/>
      <c r="D29" s="43">
        <v>16</v>
      </c>
      <c r="E29" s="42"/>
      <c r="F29" s="138">
        <f t="shared" ref="F29" si="6">C29+D29+E29</f>
        <v>16</v>
      </c>
      <c r="G29" s="117">
        <v>45747</v>
      </c>
      <c r="H29" s="37">
        <v>45748</v>
      </c>
      <c r="I29" s="37">
        <v>45756</v>
      </c>
      <c r="J29" s="37"/>
      <c r="K29" s="37">
        <v>45803</v>
      </c>
      <c r="L29" s="21">
        <f>(K30-G29+1)/7</f>
        <v>12.428571428571429</v>
      </c>
      <c r="M29" s="473" t="s">
        <v>119</v>
      </c>
      <c r="O29" s="26"/>
    </row>
    <row r="30" spans="1:19" ht="16.5" customHeight="1" x14ac:dyDescent="0.3">
      <c r="A30" s="352"/>
      <c r="B30" s="13"/>
      <c r="C30" s="108"/>
      <c r="D30" s="15"/>
      <c r="E30" s="14"/>
      <c r="F30" s="138"/>
      <c r="G30" s="101"/>
      <c r="H30" s="19">
        <v>45750</v>
      </c>
      <c r="I30" s="19">
        <v>45804</v>
      </c>
      <c r="J30" s="84"/>
      <c r="K30" s="120">
        <v>45833</v>
      </c>
      <c r="L30" s="24"/>
      <c r="M30" s="474"/>
    </row>
    <row r="31" spans="1:19" ht="16.5" customHeight="1" thickBot="1" x14ac:dyDescent="0.35">
      <c r="A31" s="353"/>
      <c r="B31" s="47"/>
      <c r="C31" s="111"/>
      <c r="D31" s="49"/>
      <c r="E31" s="48"/>
      <c r="F31" s="105"/>
      <c r="G31" s="103"/>
      <c r="H31" s="53">
        <f>(H30-H29+1)/7</f>
        <v>0.42857142857142855</v>
      </c>
      <c r="I31" s="53">
        <f>(I30-I29+1)/7</f>
        <v>7</v>
      </c>
      <c r="J31" s="97"/>
      <c r="K31" s="53">
        <f>(K30-K29+1)/7</f>
        <v>4.4285714285714288</v>
      </c>
      <c r="L31" s="55"/>
      <c r="M31" s="478"/>
      <c r="Q31" s="39"/>
    </row>
    <row r="32" spans="1:19" ht="24" customHeight="1" thickBot="1" x14ac:dyDescent="0.35">
      <c r="A32" s="343" t="s">
        <v>10</v>
      </c>
      <c r="B32" s="344"/>
      <c r="C32" s="112">
        <f>SUM(C14:C31)</f>
        <v>24</v>
      </c>
      <c r="D32" s="58">
        <f>SUM(D14:D31)</f>
        <v>49</v>
      </c>
      <c r="E32" s="57">
        <f>SUM(E14:E31)</f>
        <v>0</v>
      </c>
      <c r="F32" s="140">
        <f>SUM(C32:E32)</f>
        <v>73</v>
      </c>
      <c r="G32" s="480" t="s">
        <v>42</v>
      </c>
      <c r="H32" s="481"/>
      <c r="I32" s="481"/>
      <c r="J32" s="481"/>
      <c r="K32" s="482"/>
      <c r="L32" s="61">
        <f>AVERAGE(L14:L31)</f>
        <v>11.333333333333334</v>
      </c>
      <c r="M32" s="62" t="s">
        <v>41</v>
      </c>
      <c r="O32" s="350" t="s">
        <v>43</v>
      </c>
      <c r="P32" s="350"/>
    </row>
    <row r="33" spans="1:20" ht="15" customHeight="1" x14ac:dyDescent="0.3">
      <c r="A33" s="351" t="s">
        <v>74</v>
      </c>
      <c r="B33" s="63" t="s">
        <v>75</v>
      </c>
      <c r="C33" s="191">
        <v>14</v>
      </c>
      <c r="D33" s="65"/>
      <c r="E33" s="64"/>
      <c r="F33" s="138">
        <f>C33+D33+E33</f>
        <v>14</v>
      </c>
      <c r="G33" s="192">
        <v>45796</v>
      </c>
      <c r="H33" s="68">
        <v>45797</v>
      </c>
      <c r="I33" s="68">
        <v>45803</v>
      </c>
      <c r="J33" s="68"/>
      <c r="K33" s="68">
        <v>45845</v>
      </c>
      <c r="L33" s="70">
        <f>(K34-G33+1)/7</f>
        <v>10.285714285714286</v>
      </c>
      <c r="M33" s="479" t="s">
        <v>76</v>
      </c>
      <c r="N33" s="71"/>
      <c r="O33" s="5" t="s">
        <v>47</v>
      </c>
      <c r="P33" s="72" t="e">
        <f>AVERAGE(H35,H38,H41,H44,H47,H62,#REF!,#REF!,#REF!,#REF!)</f>
        <v>#REF!</v>
      </c>
      <c r="Q33" s="5">
        <v>1</v>
      </c>
      <c r="R33" s="39"/>
    </row>
    <row r="34" spans="1:20" ht="15" customHeight="1" x14ac:dyDescent="0.3">
      <c r="A34" s="352"/>
      <c r="B34" s="13"/>
      <c r="C34" s="108"/>
      <c r="D34" s="15"/>
      <c r="E34" s="14"/>
      <c r="F34" s="138"/>
      <c r="G34" s="118"/>
      <c r="H34" s="19">
        <v>45799</v>
      </c>
      <c r="I34" s="19">
        <v>45842</v>
      </c>
      <c r="J34" s="19"/>
      <c r="K34" s="120">
        <v>45867</v>
      </c>
      <c r="L34" s="24"/>
      <c r="M34" s="474"/>
      <c r="N34" s="71"/>
      <c r="O34" s="5" t="s">
        <v>48</v>
      </c>
      <c r="P34" s="72" t="e">
        <f>AVERAGE(I35,I38,I41,I44,I47,I62,#REF!,#REF!,#REF!,#REF!)</f>
        <v>#REF!</v>
      </c>
      <c r="Q34" s="5">
        <v>6</v>
      </c>
    </row>
    <row r="35" spans="1:20" ht="15" customHeight="1" x14ac:dyDescent="0.3">
      <c r="A35" s="352"/>
      <c r="B35" s="27"/>
      <c r="C35" s="109"/>
      <c r="D35" s="29"/>
      <c r="E35" s="28"/>
      <c r="F35" s="139"/>
      <c r="G35" s="119"/>
      <c r="H35" s="33">
        <f>(H34-H33+1)/7</f>
        <v>0.42857142857142855</v>
      </c>
      <c r="I35" s="33">
        <f>(I34-I33+1)/7</f>
        <v>5.7142857142857144</v>
      </c>
      <c r="J35" s="33"/>
      <c r="K35" s="33">
        <f>(K34-K33+1)/7</f>
        <v>3.2857142857142856</v>
      </c>
      <c r="L35" s="35"/>
      <c r="M35" s="475"/>
      <c r="N35" s="71"/>
      <c r="O35" s="5" t="s">
        <v>49</v>
      </c>
      <c r="P35" s="72" t="e">
        <f>AVERAGE(K35,K38,K41,K44,K47,K62,#REF!,#REF!,#REF!,#REF!)</f>
        <v>#REF!</v>
      </c>
      <c r="Q35" s="5">
        <v>5</v>
      </c>
      <c r="R35" s="39"/>
    </row>
    <row r="36" spans="1:20" ht="15" customHeight="1" x14ac:dyDescent="0.3">
      <c r="A36" s="352"/>
      <c r="B36" s="13" t="s">
        <v>77</v>
      </c>
      <c r="C36" s="108">
        <v>16</v>
      </c>
      <c r="D36" s="15"/>
      <c r="E36" s="14"/>
      <c r="F36" s="138">
        <f t="shared" ref="F36" si="7">C36+D36+E36</f>
        <v>16</v>
      </c>
      <c r="G36" s="106">
        <v>45831</v>
      </c>
      <c r="H36" s="19">
        <v>45832</v>
      </c>
      <c r="I36" s="37">
        <v>45838</v>
      </c>
      <c r="J36" s="37"/>
      <c r="K36" s="38">
        <v>45868</v>
      </c>
      <c r="L36" s="136">
        <f>(K37-G36+1)/7</f>
        <v>10.714285714285714</v>
      </c>
      <c r="M36" s="492" t="s">
        <v>78</v>
      </c>
      <c r="P36" s="76"/>
      <c r="Q36" s="39"/>
    </row>
    <row r="37" spans="1:20" ht="15" customHeight="1" x14ac:dyDescent="0.3">
      <c r="A37" s="352"/>
      <c r="B37" s="13"/>
      <c r="C37" s="108"/>
      <c r="D37" s="15"/>
      <c r="E37" s="14"/>
      <c r="F37" s="138"/>
      <c r="G37" s="118"/>
      <c r="H37" s="19">
        <v>45834</v>
      </c>
      <c r="I37" s="19">
        <v>45869</v>
      </c>
      <c r="J37" s="19"/>
      <c r="K37" s="23">
        <v>45905</v>
      </c>
      <c r="L37" s="136"/>
      <c r="M37" s="493"/>
    </row>
    <row r="38" spans="1:20" ht="15" customHeight="1" x14ac:dyDescent="0.3">
      <c r="A38" s="352"/>
      <c r="B38" s="27"/>
      <c r="C38" s="109"/>
      <c r="D38" s="29"/>
      <c r="E38" s="28"/>
      <c r="F38" s="139"/>
      <c r="G38" s="119"/>
      <c r="H38" s="33">
        <f t="shared" ref="H38:K38" si="8">(H37-H36+1)/7</f>
        <v>0.42857142857142855</v>
      </c>
      <c r="I38" s="33">
        <f t="shared" si="8"/>
        <v>4.5714285714285712</v>
      </c>
      <c r="J38" s="193"/>
      <c r="K38" s="34">
        <f t="shared" si="8"/>
        <v>5.4285714285714288</v>
      </c>
      <c r="L38" s="137"/>
      <c r="M38" s="494"/>
      <c r="P38" s="39"/>
      <c r="R38" s="39"/>
    </row>
    <row r="39" spans="1:20" ht="15" customHeight="1" x14ac:dyDescent="0.3">
      <c r="A39" s="352"/>
      <c r="B39" s="13" t="s">
        <v>79</v>
      </c>
      <c r="C39" s="108">
        <v>16</v>
      </c>
      <c r="D39" s="15"/>
      <c r="E39" s="14"/>
      <c r="F39" s="138">
        <f t="shared" ref="F39" si="9">C39+D39+E39</f>
        <v>16</v>
      </c>
      <c r="G39" s="117">
        <v>45866</v>
      </c>
      <c r="H39" s="19">
        <v>45867</v>
      </c>
      <c r="I39" s="38">
        <v>45873</v>
      </c>
      <c r="J39" s="37"/>
      <c r="K39" s="38">
        <v>45908</v>
      </c>
      <c r="L39" s="135">
        <f>(K40-G39+1)/7</f>
        <v>12.428571428571429</v>
      </c>
      <c r="M39" s="492" t="s">
        <v>80</v>
      </c>
      <c r="O39" s="39"/>
      <c r="T39" s="39"/>
    </row>
    <row r="40" spans="1:20" ht="15" customHeight="1" x14ac:dyDescent="0.3">
      <c r="A40" s="352"/>
      <c r="B40" s="13"/>
      <c r="C40" s="108"/>
      <c r="D40" s="15"/>
      <c r="E40" s="14"/>
      <c r="F40" s="138"/>
      <c r="G40" s="118"/>
      <c r="H40" s="19">
        <v>45870</v>
      </c>
      <c r="I40" s="20">
        <v>45905</v>
      </c>
      <c r="J40" s="19"/>
      <c r="K40" s="23">
        <v>45952</v>
      </c>
      <c r="L40" s="136"/>
      <c r="M40" s="493"/>
      <c r="O40" s="77"/>
      <c r="Q40" s="77"/>
      <c r="R40" s="77"/>
    </row>
    <row r="41" spans="1:20" ht="15" customHeight="1" x14ac:dyDescent="0.3">
      <c r="A41" s="352"/>
      <c r="B41" s="27"/>
      <c r="C41" s="109"/>
      <c r="D41" s="29"/>
      <c r="E41" s="28"/>
      <c r="F41" s="139"/>
      <c r="G41" s="119"/>
      <c r="H41" s="33">
        <f t="shared" ref="H41:K41" si="10">(H40-H39+1)/7</f>
        <v>0.5714285714285714</v>
      </c>
      <c r="I41" s="34">
        <f t="shared" si="10"/>
        <v>4.7142857142857144</v>
      </c>
      <c r="J41" s="193"/>
      <c r="K41" s="34">
        <f t="shared" si="10"/>
        <v>6.4285714285714288</v>
      </c>
      <c r="L41" s="137"/>
      <c r="M41" s="494"/>
      <c r="O41" s="77">
        <v>11.1</v>
      </c>
      <c r="P41" s="77">
        <v>15.1</v>
      </c>
      <c r="Q41" s="77">
        <f t="shared" ref="Q41:Q46" si="11">O41-P41</f>
        <v>-4</v>
      </c>
      <c r="R41" s="77"/>
    </row>
    <row r="42" spans="1:20" ht="15" customHeight="1" x14ac:dyDescent="0.3">
      <c r="A42" s="352"/>
      <c r="B42" s="133" t="s">
        <v>81</v>
      </c>
      <c r="C42" s="127">
        <v>16</v>
      </c>
      <c r="D42" s="126"/>
      <c r="E42" s="128"/>
      <c r="F42" s="141">
        <f t="shared" ref="F42" si="12">C42+D42+E42</f>
        <v>16</v>
      </c>
      <c r="G42" s="18">
        <v>45894</v>
      </c>
      <c r="H42" s="20">
        <v>45895</v>
      </c>
      <c r="I42" s="38">
        <v>45905</v>
      </c>
      <c r="J42" s="38">
        <v>45936</v>
      </c>
      <c r="K42" s="38">
        <v>45952</v>
      </c>
      <c r="L42" s="135">
        <f>(K43-G42+1)/7</f>
        <v>12.714285714285714</v>
      </c>
      <c r="M42" s="492" t="s">
        <v>82</v>
      </c>
      <c r="O42" s="77">
        <v>10.7</v>
      </c>
      <c r="P42" s="77">
        <v>15.1</v>
      </c>
      <c r="Q42" s="77">
        <f t="shared" si="11"/>
        <v>-4.4000000000000004</v>
      </c>
      <c r="R42" s="77"/>
    </row>
    <row r="43" spans="1:20" ht="15" customHeight="1" x14ac:dyDescent="0.3">
      <c r="A43" s="352"/>
      <c r="B43" s="133"/>
      <c r="C43" s="127"/>
      <c r="D43" s="126"/>
      <c r="E43" s="128"/>
      <c r="F43" s="141"/>
      <c r="G43" s="22"/>
      <c r="H43" s="20">
        <v>45898</v>
      </c>
      <c r="I43" s="20">
        <v>45932</v>
      </c>
      <c r="J43" s="20">
        <v>45949</v>
      </c>
      <c r="K43" s="23">
        <v>45982</v>
      </c>
      <c r="L43" s="136"/>
      <c r="M43" s="493"/>
      <c r="O43" s="77">
        <v>10.3</v>
      </c>
      <c r="P43" s="77">
        <v>14.7</v>
      </c>
      <c r="Q43" s="77">
        <f t="shared" si="11"/>
        <v>-4.3999999999999986</v>
      </c>
      <c r="R43" s="77"/>
    </row>
    <row r="44" spans="1:20" ht="15" customHeight="1" x14ac:dyDescent="0.3">
      <c r="A44" s="352"/>
      <c r="B44" s="148"/>
      <c r="C44" s="129"/>
      <c r="D44" s="130"/>
      <c r="E44" s="131"/>
      <c r="F44" s="142"/>
      <c r="G44" s="32"/>
      <c r="H44" s="34">
        <f t="shared" ref="H44:K44" si="13">(H43-H42+1)/7</f>
        <v>0.5714285714285714</v>
      </c>
      <c r="I44" s="34">
        <f t="shared" si="13"/>
        <v>4</v>
      </c>
      <c r="J44" s="189">
        <f t="shared" si="13"/>
        <v>2</v>
      </c>
      <c r="K44" s="34">
        <f t="shared" si="13"/>
        <v>4.4285714285714288</v>
      </c>
      <c r="L44" s="137"/>
      <c r="M44" s="494"/>
      <c r="O44" s="77">
        <v>7.7</v>
      </c>
      <c r="P44" s="77">
        <v>10.7</v>
      </c>
      <c r="Q44" s="77">
        <f t="shared" si="11"/>
        <v>-2.9999999999999991</v>
      </c>
      <c r="R44" s="77"/>
    </row>
    <row r="45" spans="1:20" ht="15" customHeight="1" x14ac:dyDescent="0.3">
      <c r="A45" s="352"/>
      <c r="B45" s="163" t="s">
        <v>83</v>
      </c>
      <c r="C45" s="155">
        <v>16</v>
      </c>
      <c r="D45" s="156"/>
      <c r="E45" s="183">
        <v>8</v>
      </c>
      <c r="F45" s="158">
        <f t="shared" ref="F45" si="14">C45+D45+E45</f>
        <v>24</v>
      </c>
      <c r="G45" s="159">
        <v>45929</v>
      </c>
      <c r="H45" s="160">
        <v>45930</v>
      </c>
      <c r="I45" s="161">
        <v>45943</v>
      </c>
      <c r="J45" s="161"/>
      <c r="K45" s="161">
        <v>45985</v>
      </c>
      <c r="L45" s="162">
        <f>(K46-G45+1)/7</f>
        <v>15.571428571428571</v>
      </c>
      <c r="M45" s="495" t="s">
        <v>100</v>
      </c>
      <c r="O45" s="77">
        <v>9.6999999999999993</v>
      </c>
      <c r="P45" s="77">
        <v>9.6999999999999993</v>
      </c>
      <c r="Q45" s="77">
        <f t="shared" si="11"/>
        <v>0</v>
      </c>
      <c r="R45" s="77"/>
    </row>
    <row r="46" spans="1:20" ht="15" customHeight="1" x14ac:dyDescent="0.3">
      <c r="A46" s="352"/>
      <c r="B46" s="163"/>
      <c r="C46" s="155"/>
      <c r="D46" s="156"/>
      <c r="E46" s="157"/>
      <c r="F46" s="158"/>
      <c r="G46" s="164"/>
      <c r="H46" s="160">
        <v>45932</v>
      </c>
      <c r="I46" s="160">
        <v>45980</v>
      </c>
      <c r="J46" s="160"/>
      <c r="K46" s="165">
        <v>46037</v>
      </c>
      <c r="L46" s="166"/>
      <c r="M46" s="496"/>
      <c r="O46" s="77">
        <v>9.6</v>
      </c>
      <c r="P46" s="77">
        <v>9.6</v>
      </c>
      <c r="Q46" s="77">
        <f t="shared" si="11"/>
        <v>0</v>
      </c>
      <c r="R46" s="77"/>
      <c r="S46" s="72"/>
    </row>
    <row r="47" spans="1:20" ht="15" customHeight="1" x14ac:dyDescent="0.3">
      <c r="A47" s="352"/>
      <c r="B47" s="167"/>
      <c r="C47" s="168"/>
      <c r="D47" s="169"/>
      <c r="E47" s="170"/>
      <c r="F47" s="171"/>
      <c r="G47" s="172"/>
      <c r="H47" s="173">
        <f t="shared" ref="H47:K47" si="15">(H46-H45+1)/7</f>
        <v>0.42857142857142855</v>
      </c>
      <c r="I47" s="173">
        <f t="shared" si="15"/>
        <v>5.4285714285714288</v>
      </c>
      <c r="J47" s="173"/>
      <c r="K47" s="173">
        <f t="shared" si="15"/>
        <v>7.5714285714285712</v>
      </c>
      <c r="L47" s="174"/>
      <c r="M47" s="497"/>
      <c r="O47" s="77"/>
      <c r="P47" s="77"/>
      <c r="Q47" s="77"/>
      <c r="R47" s="77"/>
    </row>
    <row r="48" spans="1:20" ht="15" customHeight="1" x14ac:dyDescent="0.3">
      <c r="A48" s="352"/>
      <c r="B48" s="175" t="s">
        <v>84</v>
      </c>
      <c r="C48" s="176"/>
      <c r="D48" s="177">
        <v>16</v>
      </c>
      <c r="E48" s="178">
        <v>6</v>
      </c>
      <c r="F48" s="158">
        <f>C48+D48+E48</f>
        <v>22</v>
      </c>
      <c r="G48" s="159">
        <v>45971</v>
      </c>
      <c r="H48" s="161">
        <v>45972</v>
      </c>
      <c r="I48" s="161">
        <v>45981</v>
      </c>
      <c r="J48" s="161">
        <v>46020</v>
      </c>
      <c r="K48" s="161">
        <v>46038</v>
      </c>
      <c r="L48" s="162">
        <f>(K49-G48+1)/7</f>
        <v>13.428571428571429</v>
      </c>
      <c r="M48" s="495" t="s">
        <v>101</v>
      </c>
      <c r="O48" s="77"/>
      <c r="P48" s="77"/>
      <c r="Q48" s="77"/>
      <c r="R48" s="77"/>
    </row>
    <row r="49" spans="1:18" ht="15" customHeight="1" x14ac:dyDescent="0.3">
      <c r="A49" s="352"/>
      <c r="B49" s="179"/>
      <c r="C49" s="155"/>
      <c r="D49" s="156"/>
      <c r="E49" s="180"/>
      <c r="F49" s="158"/>
      <c r="G49" s="164"/>
      <c r="H49" s="160">
        <v>45974</v>
      </c>
      <c r="I49" s="160">
        <v>46017</v>
      </c>
      <c r="J49" s="160">
        <v>46033</v>
      </c>
      <c r="K49" s="165">
        <v>46064</v>
      </c>
      <c r="L49" s="166"/>
      <c r="M49" s="496"/>
      <c r="O49" s="77"/>
      <c r="P49" s="77"/>
      <c r="Q49" s="77"/>
      <c r="R49" s="77"/>
    </row>
    <row r="50" spans="1:18" ht="15" customHeight="1" x14ac:dyDescent="0.3">
      <c r="A50" s="352"/>
      <c r="B50" s="181"/>
      <c r="C50" s="168"/>
      <c r="D50" s="169"/>
      <c r="E50" s="182"/>
      <c r="F50" s="171"/>
      <c r="G50" s="172"/>
      <c r="H50" s="173">
        <f t="shared" ref="H50:K50" si="16">(H49-H48+1)/7</f>
        <v>0.42857142857142855</v>
      </c>
      <c r="I50" s="173">
        <f t="shared" si="16"/>
        <v>5.2857142857142856</v>
      </c>
      <c r="J50" s="188">
        <f t="shared" si="16"/>
        <v>2</v>
      </c>
      <c r="K50" s="173">
        <f t="shared" si="16"/>
        <v>3.8571428571428572</v>
      </c>
      <c r="L50" s="174"/>
      <c r="M50" s="497"/>
      <c r="O50" s="77"/>
      <c r="P50" s="77"/>
      <c r="Q50" s="77"/>
      <c r="R50" s="77"/>
    </row>
    <row r="51" spans="1:18" ht="15" customHeight="1" x14ac:dyDescent="0.3">
      <c r="A51" s="352"/>
      <c r="B51" s="163" t="s">
        <v>85</v>
      </c>
      <c r="C51" s="155">
        <v>9</v>
      </c>
      <c r="D51" s="156">
        <v>7</v>
      </c>
      <c r="E51" s="183">
        <v>5</v>
      </c>
      <c r="F51" s="158">
        <f>C51+D51+E51</f>
        <v>21</v>
      </c>
      <c r="G51" s="159">
        <v>46013</v>
      </c>
      <c r="H51" s="161">
        <v>46014</v>
      </c>
      <c r="I51" s="161">
        <v>46020</v>
      </c>
      <c r="J51" s="161">
        <v>46055</v>
      </c>
      <c r="K51" s="161">
        <v>46065</v>
      </c>
      <c r="L51" s="162">
        <f>(K52-G51+1)/7</f>
        <v>11.428571428571429</v>
      </c>
      <c r="M51" s="495" t="s">
        <v>102</v>
      </c>
      <c r="O51" s="77"/>
      <c r="P51" s="77"/>
      <c r="Q51" s="77"/>
      <c r="R51" s="77"/>
    </row>
    <row r="52" spans="1:18" ht="15" customHeight="1" x14ac:dyDescent="0.3">
      <c r="A52" s="352"/>
      <c r="B52" s="163"/>
      <c r="C52" s="155"/>
      <c r="D52" s="156"/>
      <c r="E52" s="180"/>
      <c r="F52" s="158"/>
      <c r="G52" s="164"/>
      <c r="H52" s="160">
        <v>46017</v>
      </c>
      <c r="I52" s="160">
        <v>46052</v>
      </c>
      <c r="J52" s="160">
        <v>46061</v>
      </c>
      <c r="K52" s="165">
        <v>46092</v>
      </c>
      <c r="L52" s="166"/>
      <c r="M52" s="496"/>
      <c r="O52" s="77"/>
      <c r="P52" s="77"/>
      <c r="Q52" s="77"/>
      <c r="R52" s="77"/>
    </row>
    <row r="53" spans="1:18" ht="15" customHeight="1" x14ac:dyDescent="0.3">
      <c r="A53" s="352"/>
      <c r="B53" s="181"/>
      <c r="C53" s="168"/>
      <c r="D53" s="169"/>
      <c r="E53" s="182"/>
      <c r="F53" s="171"/>
      <c r="G53" s="172"/>
      <c r="H53" s="173">
        <f t="shared" ref="H53:K53" si="17">(H52-H51+1)/7</f>
        <v>0.5714285714285714</v>
      </c>
      <c r="I53" s="173">
        <f t="shared" si="17"/>
        <v>4.7142857142857144</v>
      </c>
      <c r="J53" s="188">
        <f t="shared" si="17"/>
        <v>1</v>
      </c>
      <c r="K53" s="173">
        <f t="shared" si="17"/>
        <v>4</v>
      </c>
      <c r="L53" s="174"/>
      <c r="M53" s="497"/>
      <c r="O53" s="77"/>
      <c r="P53" s="77"/>
      <c r="Q53" s="77"/>
      <c r="R53" s="77"/>
    </row>
    <row r="54" spans="1:18" ht="15" customHeight="1" x14ac:dyDescent="0.3">
      <c r="A54" s="352"/>
      <c r="B54" s="132" t="s">
        <v>86</v>
      </c>
      <c r="C54" s="127"/>
      <c r="D54" s="126">
        <v>16</v>
      </c>
      <c r="E54" s="184"/>
      <c r="F54" s="141">
        <f t="shared" ref="F54" si="18">C54+D54+E54</f>
        <v>16</v>
      </c>
      <c r="G54" s="18">
        <v>46041</v>
      </c>
      <c r="H54" s="38">
        <v>46042</v>
      </c>
      <c r="I54" s="38">
        <v>46050</v>
      </c>
      <c r="J54" s="38">
        <v>46083</v>
      </c>
      <c r="K54" s="38">
        <v>46093</v>
      </c>
      <c r="L54" s="135">
        <f>(K55-G54+1)/7</f>
        <v>9.7142857142857135</v>
      </c>
      <c r="M54" s="492" t="s">
        <v>103</v>
      </c>
      <c r="O54" s="77"/>
      <c r="P54" s="77"/>
      <c r="Q54" s="77"/>
      <c r="R54" s="77"/>
    </row>
    <row r="55" spans="1:18" ht="15" customHeight="1" x14ac:dyDescent="0.3">
      <c r="A55" s="352"/>
      <c r="B55" s="133"/>
      <c r="C55" s="127"/>
      <c r="D55" s="126"/>
      <c r="E55" s="185"/>
      <c r="F55" s="141"/>
      <c r="G55" s="22"/>
      <c r="H55" s="20">
        <v>46044</v>
      </c>
      <c r="I55" s="20">
        <v>46080</v>
      </c>
      <c r="J55" s="20">
        <v>46089</v>
      </c>
      <c r="K55" s="23">
        <v>46108</v>
      </c>
      <c r="L55" s="136"/>
      <c r="M55" s="493"/>
      <c r="O55" s="77"/>
      <c r="P55" s="77"/>
      <c r="Q55" s="77"/>
      <c r="R55" s="77"/>
    </row>
    <row r="56" spans="1:18" ht="15" customHeight="1" x14ac:dyDescent="0.3">
      <c r="A56" s="352"/>
      <c r="B56" s="134"/>
      <c r="C56" s="129"/>
      <c r="D56" s="130"/>
      <c r="E56" s="186"/>
      <c r="F56" s="142"/>
      <c r="G56" s="32"/>
      <c r="H56" s="34">
        <f t="shared" ref="H56:K56" si="19">(H55-H54+1)/7</f>
        <v>0.42857142857142855</v>
      </c>
      <c r="I56" s="34">
        <f t="shared" si="19"/>
        <v>4.4285714285714288</v>
      </c>
      <c r="J56" s="189">
        <f t="shared" si="19"/>
        <v>1</v>
      </c>
      <c r="K56" s="34">
        <f t="shared" si="19"/>
        <v>2.2857142857142856</v>
      </c>
      <c r="L56" s="137"/>
      <c r="M56" s="494"/>
      <c r="O56" s="77"/>
      <c r="P56" s="77"/>
      <c r="Q56" s="77"/>
      <c r="R56" s="77"/>
    </row>
    <row r="57" spans="1:18" ht="15" customHeight="1" x14ac:dyDescent="0.3">
      <c r="A57" s="352"/>
      <c r="B57" s="133" t="s">
        <v>87</v>
      </c>
      <c r="C57" s="127"/>
      <c r="D57" s="126">
        <v>18</v>
      </c>
      <c r="E57" s="128"/>
      <c r="F57" s="141">
        <f t="shared" ref="F57" si="20">C57+D57+E57</f>
        <v>18</v>
      </c>
      <c r="G57" s="18">
        <v>46076</v>
      </c>
      <c r="H57" s="38">
        <v>46077</v>
      </c>
      <c r="I57" s="38">
        <v>46084</v>
      </c>
      <c r="J57" s="38"/>
      <c r="K57" s="38">
        <v>46118</v>
      </c>
      <c r="L57" s="135">
        <f>(K58-G57+1)/7</f>
        <v>8.7142857142857135</v>
      </c>
      <c r="M57" s="492" t="s">
        <v>104</v>
      </c>
      <c r="O57" s="77"/>
      <c r="P57" s="77"/>
      <c r="Q57" s="77"/>
      <c r="R57" s="77"/>
    </row>
    <row r="58" spans="1:18" ht="15" customHeight="1" x14ac:dyDescent="0.3">
      <c r="A58" s="352"/>
      <c r="B58" s="133"/>
      <c r="C58" s="127"/>
      <c r="D58" s="126"/>
      <c r="E58" s="128"/>
      <c r="F58" s="141"/>
      <c r="G58" s="22"/>
      <c r="H58" s="20">
        <v>46079</v>
      </c>
      <c r="I58" s="20">
        <v>46113</v>
      </c>
      <c r="J58" s="20"/>
      <c r="K58" s="23">
        <v>46136</v>
      </c>
      <c r="L58" s="136"/>
      <c r="M58" s="493"/>
      <c r="O58" s="77"/>
      <c r="P58" s="77"/>
      <c r="Q58" s="77"/>
      <c r="R58" s="77"/>
    </row>
    <row r="59" spans="1:18" ht="15" customHeight="1" x14ac:dyDescent="0.3">
      <c r="A59" s="352"/>
      <c r="B59" s="134"/>
      <c r="C59" s="129"/>
      <c r="D59" s="130"/>
      <c r="E59" s="131"/>
      <c r="F59" s="142"/>
      <c r="G59" s="32"/>
      <c r="H59" s="34">
        <f t="shared" ref="H59:K59" si="21">(H58-H57+1)/7</f>
        <v>0.42857142857142855</v>
      </c>
      <c r="I59" s="34">
        <f t="shared" si="21"/>
        <v>4.2857142857142856</v>
      </c>
      <c r="J59" s="189"/>
      <c r="K59" s="34">
        <f t="shared" si="21"/>
        <v>2.7142857142857144</v>
      </c>
      <c r="L59" s="137"/>
      <c r="M59" s="494"/>
      <c r="O59" s="77"/>
      <c r="P59" s="77"/>
      <c r="Q59" s="77"/>
      <c r="R59" s="77"/>
    </row>
    <row r="60" spans="1:18" ht="15" customHeight="1" x14ac:dyDescent="0.3">
      <c r="A60" s="352"/>
      <c r="B60" s="133" t="s">
        <v>88</v>
      </c>
      <c r="C60" s="127"/>
      <c r="D60" s="126">
        <v>17</v>
      </c>
      <c r="E60" s="128"/>
      <c r="F60" s="141">
        <f t="shared" ref="F60" si="22">C60+D60+E60</f>
        <v>17</v>
      </c>
      <c r="G60" s="18">
        <v>46104</v>
      </c>
      <c r="H60" s="38">
        <v>46105</v>
      </c>
      <c r="I60" s="38">
        <v>46114</v>
      </c>
      <c r="J60" s="20"/>
      <c r="K60" s="38">
        <v>46146</v>
      </c>
      <c r="L60" s="135">
        <f>(K61-G60+1)/7</f>
        <v>8.7142857142857135</v>
      </c>
      <c r="M60" s="492" t="s">
        <v>105</v>
      </c>
      <c r="O60" s="77"/>
      <c r="P60" s="77"/>
      <c r="Q60" s="77"/>
      <c r="R60" s="77"/>
    </row>
    <row r="61" spans="1:18" ht="15" customHeight="1" x14ac:dyDescent="0.3">
      <c r="A61" s="352"/>
      <c r="B61" s="133"/>
      <c r="C61" s="127"/>
      <c r="D61" s="126"/>
      <c r="E61" s="128"/>
      <c r="F61" s="141"/>
      <c r="G61" s="22"/>
      <c r="H61" s="20">
        <v>46107</v>
      </c>
      <c r="I61" s="20">
        <v>46142</v>
      </c>
      <c r="J61" s="20"/>
      <c r="K61" s="23">
        <v>46164</v>
      </c>
      <c r="L61" s="136"/>
      <c r="M61" s="493"/>
      <c r="O61" s="77"/>
      <c r="P61" s="77"/>
      <c r="Q61" s="77"/>
      <c r="R61" s="77"/>
    </row>
    <row r="62" spans="1:18" ht="15" customHeight="1" thickBot="1" x14ac:dyDescent="0.35">
      <c r="A62" s="353"/>
      <c r="B62" s="149"/>
      <c r="C62" s="150"/>
      <c r="D62" s="151"/>
      <c r="E62" s="152"/>
      <c r="F62" s="153"/>
      <c r="G62" s="52"/>
      <c r="H62" s="54">
        <f t="shared" ref="H62:K62" si="23">(H61-H60+1)/7</f>
        <v>0.42857142857142855</v>
      </c>
      <c r="I62" s="54">
        <f t="shared" si="23"/>
        <v>4.1428571428571432</v>
      </c>
      <c r="J62" s="190"/>
      <c r="K62" s="54">
        <f t="shared" si="23"/>
        <v>2.7142857142857144</v>
      </c>
      <c r="L62" s="154"/>
      <c r="M62" s="498"/>
      <c r="O62" s="77"/>
      <c r="P62" s="77"/>
      <c r="Q62" s="77"/>
      <c r="R62" s="77"/>
    </row>
    <row r="63" spans="1:18" ht="24" customHeight="1" thickBot="1" x14ac:dyDescent="0.35">
      <c r="A63" s="343" t="s">
        <v>10</v>
      </c>
      <c r="B63" s="344"/>
      <c r="C63" s="112">
        <f>SUM(C33:C62)</f>
        <v>87</v>
      </c>
      <c r="D63" s="114">
        <f t="shared" ref="D63:E63" si="24">SUM(D33:D62)</f>
        <v>74</v>
      </c>
      <c r="E63" s="57">
        <f t="shared" si="24"/>
        <v>19</v>
      </c>
      <c r="F63" s="140">
        <f>SUM(C63:E63)</f>
        <v>180</v>
      </c>
      <c r="G63" s="453" t="s">
        <v>42</v>
      </c>
      <c r="H63" s="454"/>
      <c r="I63" s="454"/>
      <c r="J63" s="454"/>
      <c r="K63" s="455"/>
      <c r="L63" s="61">
        <f>AVERAGE(L33:L62)</f>
        <v>11.37142857142857</v>
      </c>
      <c r="M63" s="62" t="s">
        <v>41</v>
      </c>
    </row>
    <row r="64" spans="1:18" ht="24" customHeight="1" thickBot="1" x14ac:dyDescent="0.35">
      <c r="A64" s="345" t="s">
        <v>69</v>
      </c>
      <c r="B64" s="346"/>
      <c r="C64" s="112">
        <f>C32+C63</f>
        <v>111</v>
      </c>
      <c r="D64" s="114">
        <f t="shared" ref="D64:E64" si="25">D32+D63</f>
        <v>123</v>
      </c>
      <c r="E64" s="57">
        <f t="shared" si="25"/>
        <v>19</v>
      </c>
      <c r="F64" s="140">
        <f>SUM(C64:E64)</f>
        <v>253</v>
      </c>
      <c r="G64" s="456" t="s">
        <v>70</v>
      </c>
      <c r="H64" s="457"/>
      <c r="I64" s="457"/>
      <c r="J64" s="457"/>
      <c r="K64" s="458"/>
      <c r="L64" s="61">
        <f>AVERAGE(L32,L63)</f>
        <v>11.352380952380951</v>
      </c>
      <c r="M64" s="62" t="s">
        <v>41</v>
      </c>
    </row>
    <row r="65" spans="1:13" ht="45.75" customHeight="1" x14ac:dyDescent="0.3">
      <c r="A65" s="347" t="s">
        <v>71</v>
      </c>
      <c r="B65" s="347"/>
      <c r="C65" s="347"/>
      <c r="D65" s="347"/>
      <c r="E65" s="347"/>
      <c r="F65" s="347"/>
      <c r="G65" s="347"/>
      <c r="H65" s="347"/>
      <c r="I65" s="347"/>
      <c r="J65" s="347"/>
      <c r="K65" s="347"/>
      <c r="L65" s="347"/>
      <c r="M65" s="347"/>
    </row>
    <row r="66" spans="1:13" ht="17.25" x14ac:dyDescent="0.3">
      <c r="A66" s="194"/>
      <c r="H66" s="39"/>
    </row>
    <row r="67" spans="1:13" x14ac:dyDescent="0.3">
      <c r="G67" s="39"/>
      <c r="H67" s="39"/>
    </row>
    <row r="68" spans="1:13" x14ac:dyDescent="0.3">
      <c r="C68" s="39"/>
      <c r="D68" s="39"/>
      <c r="G68" s="39"/>
    </row>
  </sheetData>
  <mergeCells count="56">
    <mergeCell ref="A64:B64"/>
    <mergeCell ref="G64:K64"/>
    <mergeCell ref="A65:M65"/>
    <mergeCell ref="M51:M53"/>
    <mergeCell ref="M54:M56"/>
    <mergeCell ref="M57:M59"/>
    <mergeCell ref="M60:M62"/>
    <mergeCell ref="A63:B63"/>
    <mergeCell ref="G63:K63"/>
    <mergeCell ref="A32:B32"/>
    <mergeCell ref="G32:K32"/>
    <mergeCell ref="O32:P32"/>
    <mergeCell ref="A33:A62"/>
    <mergeCell ref="M33:M35"/>
    <mergeCell ref="M36:M38"/>
    <mergeCell ref="M39:M41"/>
    <mergeCell ref="M42:M44"/>
    <mergeCell ref="M45:M47"/>
    <mergeCell ref="M48:M50"/>
    <mergeCell ref="M11:M13"/>
    <mergeCell ref="C12:D12"/>
    <mergeCell ref="G12:L12"/>
    <mergeCell ref="A14:A31"/>
    <mergeCell ref="M14:M16"/>
    <mergeCell ref="M17:M19"/>
    <mergeCell ref="M20:M22"/>
    <mergeCell ref="M23:M25"/>
    <mergeCell ref="M26:M28"/>
    <mergeCell ref="M29:M31"/>
    <mergeCell ref="A11:A13"/>
    <mergeCell ref="B11:B13"/>
    <mergeCell ref="C11:E11"/>
    <mergeCell ref="F11:F13"/>
    <mergeCell ref="G11:L11"/>
    <mergeCell ref="A8:B8"/>
    <mergeCell ref="C8:F8"/>
    <mergeCell ref="G8:H8"/>
    <mergeCell ref="I8:M8"/>
    <mergeCell ref="A10:B10"/>
    <mergeCell ref="G10:M10"/>
    <mergeCell ref="A5:B5"/>
    <mergeCell ref="C5:F5"/>
    <mergeCell ref="G5:H5"/>
    <mergeCell ref="I5:M7"/>
    <mergeCell ref="A6:B6"/>
    <mergeCell ref="C6:F6"/>
    <mergeCell ref="G6:H6"/>
    <mergeCell ref="A7:B7"/>
    <mergeCell ref="C7:F7"/>
    <mergeCell ref="G7:H7"/>
    <mergeCell ref="A1:M1"/>
    <mergeCell ref="A3:B3"/>
    <mergeCell ref="A4:B4"/>
    <mergeCell ref="C4:F4"/>
    <mergeCell ref="G4:H4"/>
    <mergeCell ref="I4:M4"/>
  </mergeCells>
  <phoneticPr fontId="2" type="noConversion"/>
  <printOptions horizontalCentered="1"/>
  <pageMargins left="0.31496062992125984" right="0.31496062992125984" top="0.74803149606299213" bottom="0.39370078740157483" header="0.31496062992125984" footer="0.31496062992125984"/>
  <pageSetup paperSize="9" scale="6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66A5B-2511-4FDF-9590-386622299CE6}">
  <sheetPr>
    <pageSetUpPr fitToPage="1"/>
  </sheetPr>
  <dimension ref="A1:T68"/>
  <sheetViews>
    <sheetView showGridLines="0" workbookViewId="0">
      <pane xSplit="2" ySplit="13" topLeftCell="C14" activePane="bottomRight" state="frozen"/>
      <selection pane="topRight" activeCell="C1" sqref="C1"/>
      <selection pane="bottomLeft" activeCell="A14" sqref="A14"/>
      <selection pane="bottomRight" activeCell="K13" sqref="K13"/>
    </sheetView>
  </sheetViews>
  <sheetFormatPr defaultColWidth="9" defaultRowHeight="16.5" x14ac:dyDescent="0.3"/>
  <cols>
    <col min="1" max="1" width="10.5" style="5" customWidth="1"/>
    <col min="2" max="2" width="12.125" style="5" customWidth="1"/>
    <col min="3" max="6" width="6.375" style="5" customWidth="1"/>
    <col min="7" max="12" width="11.625" style="5" customWidth="1"/>
    <col min="13" max="13" width="16.25" style="100" customWidth="1"/>
    <col min="14" max="14" width="5.625" style="5" customWidth="1"/>
    <col min="15" max="15" width="15.625" style="5" hidden="1" customWidth="1"/>
    <col min="16" max="17" width="11.75" style="5" hidden="1" customWidth="1"/>
    <col min="18" max="23" width="8.75" style="5" customWidth="1"/>
    <col min="24" max="16384" width="9" style="5"/>
  </cols>
  <sheetData>
    <row r="1" spans="1:19" s="1" customFormat="1" ht="39" customHeight="1" x14ac:dyDescent="0.3">
      <c r="A1" s="471" t="s">
        <v>72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</row>
    <row r="2" spans="1:19" ht="22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>
        <v>45852</v>
      </c>
    </row>
    <row r="3" spans="1:19" ht="24" customHeight="1" x14ac:dyDescent="0.3">
      <c r="A3" s="418" t="s">
        <v>0</v>
      </c>
      <c r="B3" s="419"/>
      <c r="C3" s="2"/>
      <c r="D3" s="2"/>
      <c r="E3" s="2"/>
      <c r="F3" s="2"/>
      <c r="G3" s="6"/>
      <c r="H3" s="6"/>
      <c r="I3" s="6"/>
      <c r="J3" s="6"/>
      <c r="K3" s="6"/>
      <c r="L3" s="6"/>
      <c r="M3" s="7"/>
    </row>
    <row r="4" spans="1:19" ht="35.25" customHeight="1" thickBot="1" x14ac:dyDescent="0.35">
      <c r="A4" s="420" t="s">
        <v>1</v>
      </c>
      <c r="B4" s="421"/>
      <c r="C4" s="422" t="s">
        <v>94</v>
      </c>
      <c r="D4" s="423"/>
      <c r="E4" s="424"/>
      <c r="F4" s="420"/>
      <c r="G4" s="422" t="s">
        <v>95</v>
      </c>
      <c r="H4" s="420"/>
      <c r="I4" s="426" t="s">
        <v>5</v>
      </c>
      <c r="J4" s="424"/>
      <c r="K4" s="424"/>
      <c r="L4" s="424"/>
      <c r="M4" s="424"/>
    </row>
    <row r="5" spans="1:19" ht="24" customHeight="1" x14ac:dyDescent="0.3">
      <c r="A5" s="427" t="s">
        <v>8</v>
      </c>
      <c r="B5" s="428"/>
      <c r="C5" s="429"/>
      <c r="D5" s="430"/>
      <c r="E5" s="430"/>
      <c r="F5" s="431"/>
      <c r="G5" s="429"/>
      <c r="H5" s="431"/>
      <c r="I5" s="434" t="s">
        <v>113</v>
      </c>
      <c r="J5" s="435"/>
      <c r="K5" s="466"/>
      <c r="L5" s="466"/>
      <c r="M5" s="466"/>
    </row>
    <row r="6" spans="1:19" ht="24" customHeight="1" x14ac:dyDescent="0.3">
      <c r="A6" s="440" t="s">
        <v>9</v>
      </c>
      <c r="B6" s="441"/>
      <c r="C6" s="442">
        <f>SUM(F20:F29,F33:F53)</f>
        <v>170</v>
      </c>
      <c r="D6" s="443"/>
      <c r="E6" s="443"/>
      <c r="F6" s="444"/>
      <c r="G6" s="442"/>
      <c r="H6" s="444"/>
      <c r="I6" s="467"/>
      <c r="J6" s="468"/>
      <c r="K6" s="468"/>
      <c r="L6" s="468"/>
      <c r="M6" s="468"/>
    </row>
    <row r="7" spans="1:19" ht="24" customHeight="1" thickBot="1" x14ac:dyDescent="0.35">
      <c r="A7" s="445" t="s">
        <v>73</v>
      </c>
      <c r="B7" s="446"/>
      <c r="C7" s="392"/>
      <c r="D7" s="447"/>
      <c r="E7" s="447"/>
      <c r="F7" s="393"/>
      <c r="G7" s="392">
        <f>SUM(F45:F62)</f>
        <v>119</v>
      </c>
      <c r="H7" s="393"/>
      <c r="I7" s="469"/>
      <c r="J7" s="470"/>
      <c r="K7" s="470"/>
      <c r="L7" s="470"/>
      <c r="M7" s="470"/>
    </row>
    <row r="8" spans="1:19" ht="24" customHeight="1" x14ac:dyDescent="0.3">
      <c r="A8" s="407" t="s">
        <v>10</v>
      </c>
      <c r="B8" s="408"/>
      <c r="C8" s="409">
        <f>SUM(C5:F7)</f>
        <v>170</v>
      </c>
      <c r="D8" s="410"/>
      <c r="E8" s="410"/>
      <c r="F8" s="411"/>
      <c r="G8" s="409">
        <f>G7</f>
        <v>119</v>
      </c>
      <c r="H8" s="411"/>
      <c r="I8" s="412"/>
      <c r="J8" s="414"/>
      <c r="K8" s="414"/>
      <c r="L8" s="414"/>
      <c r="M8" s="414"/>
    </row>
    <row r="9" spans="1:19" ht="12" customHeight="1" x14ac:dyDescent="0.3">
      <c r="A9" s="8"/>
      <c r="B9" s="8"/>
      <c r="C9" s="8"/>
      <c r="D9" s="8"/>
      <c r="E9" s="8"/>
      <c r="F9" s="8"/>
      <c r="G9" s="125"/>
      <c r="H9" s="8"/>
      <c r="I9" s="8"/>
      <c r="J9" s="8"/>
      <c r="K9" s="8"/>
      <c r="L9" s="8"/>
      <c r="M9" s="8"/>
      <c r="R9" s="39"/>
    </row>
    <row r="10" spans="1:19" ht="29.25" customHeight="1" thickBot="1" x14ac:dyDescent="0.35">
      <c r="A10" s="415" t="s">
        <v>11</v>
      </c>
      <c r="B10" s="416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9" ht="36" customHeight="1" x14ac:dyDescent="0.3">
      <c r="A11" s="394" t="s">
        <v>12</v>
      </c>
      <c r="B11" s="397" t="s">
        <v>13</v>
      </c>
      <c r="C11" s="399" t="s">
        <v>14</v>
      </c>
      <c r="D11" s="399"/>
      <c r="E11" s="400"/>
      <c r="F11" s="401" t="s">
        <v>15</v>
      </c>
      <c r="G11" s="404" t="s">
        <v>18</v>
      </c>
      <c r="H11" s="405"/>
      <c r="I11" s="405"/>
      <c r="J11" s="405"/>
      <c r="K11" s="405"/>
      <c r="L11" s="406"/>
      <c r="M11" s="460" t="s">
        <v>19</v>
      </c>
    </row>
    <row r="12" spans="1:19" ht="22.5" customHeight="1" x14ac:dyDescent="0.3">
      <c r="A12" s="395"/>
      <c r="B12" s="398"/>
      <c r="C12" s="463" t="s">
        <v>96</v>
      </c>
      <c r="D12" s="464"/>
      <c r="E12" s="113" t="s">
        <v>97</v>
      </c>
      <c r="F12" s="402"/>
      <c r="G12" s="465" t="s">
        <v>114</v>
      </c>
      <c r="H12" s="382"/>
      <c r="I12" s="382"/>
      <c r="J12" s="382"/>
      <c r="K12" s="382"/>
      <c r="L12" s="383"/>
      <c r="M12" s="461"/>
    </row>
    <row r="13" spans="1:19" ht="35.25" customHeight="1" thickBot="1" x14ac:dyDescent="0.35">
      <c r="A13" s="396"/>
      <c r="B13" s="385"/>
      <c r="C13" s="107" t="s">
        <v>98</v>
      </c>
      <c r="D13" s="104" t="s">
        <v>99</v>
      </c>
      <c r="E13" s="104" t="s">
        <v>98</v>
      </c>
      <c r="F13" s="403"/>
      <c r="G13" s="9" t="s">
        <v>23</v>
      </c>
      <c r="H13" s="10" t="s">
        <v>24</v>
      </c>
      <c r="I13" s="10" t="s">
        <v>25</v>
      </c>
      <c r="J13" s="10" t="s">
        <v>111</v>
      </c>
      <c r="K13" s="11" t="s">
        <v>26</v>
      </c>
      <c r="L13" s="12" t="s">
        <v>27</v>
      </c>
      <c r="M13" s="462"/>
    </row>
    <row r="14" spans="1:19" ht="16.5" customHeight="1" x14ac:dyDescent="0.3">
      <c r="A14" s="351" t="s">
        <v>44</v>
      </c>
      <c r="B14" s="13" t="s">
        <v>58</v>
      </c>
      <c r="C14" s="108">
        <v>13</v>
      </c>
      <c r="D14" s="15">
        <v>3</v>
      </c>
      <c r="E14" s="14"/>
      <c r="F14" s="138">
        <f>C14+D14+E14</f>
        <v>16</v>
      </c>
      <c r="G14" s="117">
        <v>45600</v>
      </c>
      <c r="H14" s="19">
        <v>45601</v>
      </c>
      <c r="I14" s="37">
        <v>45608</v>
      </c>
      <c r="J14" s="37"/>
      <c r="K14" s="37">
        <v>45643</v>
      </c>
      <c r="L14" s="21">
        <f>(K15-G14+1)/7</f>
        <v>11.714285714285714</v>
      </c>
      <c r="M14" s="473" t="s">
        <v>120</v>
      </c>
    </row>
    <row r="15" spans="1:19" ht="16.5" customHeight="1" x14ac:dyDescent="0.3">
      <c r="A15" s="352"/>
      <c r="B15" s="13"/>
      <c r="C15" s="108"/>
      <c r="D15" s="15"/>
      <c r="E15" s="14"/>
      <c r="F15" s="138"/>
      <c r="G15" s="101"/>
      <c r="H15" s="19">
        <v>45603</v>
      </c>
      <c r="I15" s="19">
        <v>45643</v>
      </c>
      <c r="J15" s="19"/>
      <c r="K15" s="120">
        <v>45681</v>
      </c>
      <c r="L15" s="24"/>
      <c r="M15" s="474"/>
      <c r="S15" s="26"/>
    </row>
    <row r="16" spans="1:19" ht="16.5" customHeight="1" x14ac:dyDescent="0.3">
      <c r="A16" s="352"/>
      <c r="B16" s="27"/>
      <c r="C16" s="109"/>
      <c r="D16" s="29"/>
      <c r="E16" s="28"/>
      <c r="F16" s="139"/>
      <c r="G16" s="102"/>
      <c r="H16" s="33">
        <f t="shared" ref="H16" si="0">(H15-H14+1)/7</f>
        <v>0.42857142857142855</v>
      </c>
      <c r="I16" s="33">
        <f>(I15-I14+1)/7</f>
        <v>5.1428571428571432</v>
      </c>
      <c r="J16" s="33"/>
      <c r="K16" s="33">
        <f>(K15-K14+1)/7</f>
        <v>5.5714285714285712</v>
      </c>
      <c r="L16" s="35"/>
      <c r="M16" s="475"/>
    </row>
    <row r="17" spans="1:19" ht="16.5" customHeight="1" x14ac:dyDescent="0.3">
      <c r="A17" s="352"/>
      <c r="B17" s="41" t="s">
        <v>60</v>
      </c>
      <c r="C17" s="110">
        <v>7</v>
      </c>
      <c r="D17" s="43">
        <v>9</v>
      </c>
      <c r="E17" s="42"/>
      <c r="F17" s="138">
        <f t="shared" ref="F17" si="1">C17+D17+E17</f>
        <v>16</v>
      </c>
      <c r="G17" s="117">
        <v>45635</v>
      </c>
      <c r="H17" s="19">
        <v>45636</v>
      </c>
      <c r="I17" s="37">
        <v>45642</v>
      </c>
      <c r="J17" s="37"/>
      <c r="K17" s="37">
        <v>45691</v>
      </c>
      <c r="L17" s="21">
        <f>(K18-G17+1)/7</f>
        <v>13.285714285714286</v>
      </c>
      <c r="M17" s="476" t="s">
        <v>115</v>
      </c>
      <c r="O17" s="26"/>
      <c r="R17" s="39"/>
      <c r="S17" s="39"/>
    </row>
    <row r="18" spans="1:19" ht="16.5" customHeight="1" x14ac:dyDescent="0.3">
      <c r="A18" s="352"/>
      <c r="B18" s="13"/>
      <c r="C18" s="108"/>
      <c r="D18" s="15"/>
      <c r="E18" s="14"/>
      <c r="F18" s="138"/>
      <c r="G18" s="118"/>
      <c r="H18" s="19">
        <v>45638</v>
      </c>
      <c r="I18" s="19">
        <v>45681</v>
      </c>
      <c r="J18" s="19"/>
      <c r="K18" s="120">
        <v>45727</v>
      </c>
      <c r="L18" s="24"/>
      <c r="M18" s="474"/>
      <c r="R18" s="39"/>
    </row>
    <row r="19" spans="1:19" ht="16.5" customHeight="1" x14ac:dyDescent="0.3">
      <c r="A19" s="352"/>
      <c r="B19" s="27"/>
      <c r="C19" s="109"/>
      <c r="D19" s="29"/>
      <c r="E19" s="28"/>
      <c r="F19" s="139"/>
      <c r="G19" s="119"/>
      <c r="H19" s="33">
        <f>(H18-H17+1)/7</f>
        <v>0.42857142857142855</v>
      </c>
      <c r="I19" s="33">
        <f>(I18-I17+1)/7</f>
        <v>5.7142857142857144</v>
      </c>
      <c r="J19" s="33"/>
      <c r="K19" s="33">
        <f>(K18-K17+1)/7</f>
        <v>5.2857142857142856</v>
      </c>
      <c r="L19" s="35"/>
      <c r="M19" s="475"/>
    </row>
    <row r="20" spans="1:19" ht="16.5" customHeight="1" x14ac:dyDescent="0.3">
      <c r="A20" s="352"/>
      <c r="B20" s="13" t="s">
        <v>62</v>
      </c>
      <c r="C20" s="108"/>
      <c r="D20" s="15">
        <v>12</v>
      </c>
      <c r="E20" s="14"/>
      <c r="F20" s="138">
        <f t="shared" ref="F20" si="2">C20+D20+E20</f>
        <v>12</v>
      </c>
      <c r="G20" s="106">
        <v>45677</v>
      </c>
      <c r="H20" s="19">
        <v>45678</v>
      </c>
      <c r="I20" s="19">
        <v>45691</v>
      </c>
      <c r="J20" s="19"/>
      <c r="K20" s="19">
        <v>45728</v>
      </c>
      <c r="L20" s="24">
        <f>(K21-G20+1)/7</f>
        <v>10.142857142857142</v>
      </c>
      <c r="M20" s="477" t="s">
        <v>116</v>
      </c>
      <c r="O20" s="26"/>
      <c r="R20" s="39"/>
    </row>
    <row r="21" spans="1:19" ht="16.5" customHeight="1" x14ac:dyDescent="0.3">
      <c r="A21" s="352"/>
      <c r="B21" s="13"/>
      <c r="C21" s="108"/>
      <c r="D21" s="15"/>
      <c r="E21" s="14"/>
      <c r="F21" s="138"/>
      <c r="G21" s="118"/>
      <c r="H21" s="19">
        <v>45680</v>
      </c>
      <c r="I21" s="19">
        <v>45720</v>
      </c>
      <c r="J21" s="19"/>
      <c r="K21" s="120">
        <v>45747</v>
      </c>
      <c r="L21" s="24"/>
      <c r="M21" s="474"/>
    </row>
    <row r="22" spans="1:19" ht="16.5" customHeight="1" x14ac:dyDescent="0.3">
      <c r="A22" s="352"/>
      <c r="B22" s="27"/>
      <c r="C22" s="109"/>
      <c r="D22" s="29"/>
      <c r="E22" s="28"/>
      <c r="F22" s="139"/>
      <c r="G22" s="119"/>
      <c r="H22" s="33">
        <f>(H21-H20+1)/7</f>
        <v>0.42857142857142855</v>
      </c>
      <c r="I22" s="33">
        <f>(I21-I20+1)/7</f>
        <v>4.2857142857142856</v>
      </c>
      <c r="J22" s="33"/>
      <c r="K22" s="33">
        <f>(K21-K20+1)/7</f>
        <v>2.8571428571428572</v>
      </c>
      <c r="L22" s="35"/>
      <c r="M22" s="475"/>
    </row>
    <row r="23" spans="1:19" ht="16.5" customHeight="1" x14ac:dyDescent="0.3">
      <c r="A23" s="352"/>
      <c r="B23" s="41" t="s">
        <v>64</v>
      </c>
      <c r="C23" s="110"/>
      <c r="D23" s="43">
        <v>9</v>
      </c>
      <c r="E23" s="42"/>
      <c r="F23" s="138">
        <f t="shared" ref="F23" si="3">C23+D23+E23</f>
        <v>9</v>
      </c>
      <c r="G23" s="117">
        <v>45712</v>
      </c>
      <c r="H23" s="37">
        <v>45713</v>
      </c>
      <c r="I23" s="37">
        <v>45721</v>
      </c>
      <c r="J23" s="37"/>
      <c r="K23" s="37">
        <v>45749</v>
      </c>
      <c r="L23" s="21">
        <f>(K24-G23+1)/7</f>
        <v>9.2857142857142865</v>
      </c>
      <c r="M23" s="473" t="s">
        <v>117</v>
      </c>
      <c r="O23" s="26"/>
    </row>
    <row r="24" spans="1:19" ht="16.5" customHeight="1" x14ac:dyDescent="0.3">
      <c r="A24" s="352"/>
      <c r="B24" s="13"/>
      <c r="C24" s="108"/>
      <c r="D24" s="15"/>
      <c r="E24" s="14"/>
      <c r="F24" s="138"/>
      <c r="G24" s="118"/>
      <c r="H24" s="19">
        <v>45715</v>
      </c>
      <c r="I24" s="19">
        <v>45754</v>
      </c>
      <c r="J24" s="19"/>
      <c r="K24" s="120">
        <v>45776</v>
      </c>
      <c r="L24" s="24"/>
      <c r="M24" s="474"/>
    </row>
    <row r="25" spans="1:19" ht="16.5" customHeight="1" x14ac:dyDescent="0.3">
      <c r="A25" s="352"/>
      <c r="B25" s="27"/>
      <c r="C25" s="109"/>
      <c r="D25" s="29"/>
      <c r="E25" s="28"/>
      <c r="F25" s="139"/>
      <c r="G25" s="119"/>
      <c r="H25" s="33">
        <f>(H24-H23+1)/7</f>
        <v>0.42857142857142855</v>
      </c>
      <c r="I25" s="33">
        <f>(I24-I23+1)/7</f>
        <v>4.8571428571428568</v>
      </c>
      <c r="J25" s="33"/>
      <c r="K25" s="33">
        <f>(K24-K23+1)/7</f>
        <v>4</v>
      </c>
      <c r="L25" s="35"/>
      <c r="M25" s="475"/>
    </row>
    <row r="26" spans="1:19" ht="16.5" customHeight="1" x14ac:dyDescent="0.3">
      <c r="A26" s="352"/>
      <c r="B26" s="41" t="s">
        <v>66</v>
      </c>
      <c r="C26" s="110">
        <v>4</v>
      </c>
      <c r="D26" s="43"/>
      <c r="E26" s="42"/>
      <c r="F26" s="138">
        <f t="shared" ref="F26" si="4">C26+D26+E26</f>
        <v>4</v>
      </c>
      <c r="G26" s="117">
        <v>45726</v>
      </c>
      <c r="H26" s="37">
        <v>45727</v>
      </c>
      <c r="I26" s="37">
        <v>45733</v>
      </c>
      <c r="J26" s="37">
        <v>45768</v>
      </c>
      <c r="K26" s="37">
        <v>45784</v>
      </c>
      <c r="L26" s="21">
        <f>(K27-G26+1)/7</f>
        <v>11.142857142857142</v>
      </c>
      <c r="M26" s="473" t="s">
        <v>118</v>
      </c>
    </row>
    <row r="27" spans="1:19" ht="16.5" customHeight="1" x14ac:dyDescent="0.3">
      <c r="A27" s="352"/>
      <c r="B27" s="13"/>
      <c r="C27" s="108"/>
      <c r="D27" s="15"/>
      <c r="E27" s="14"/>
      <c r="F27" s="138"/>
      <c r="G27" s="101"/>
      <c r="H27" s="19">
        <v>45729</v>
      </c>
      <c r="I27" s="19">
        <v>45763</v>
      </c>
      <c r="J27" s="19">
        <v>45781</v>
      </c>
      <c r="K27" s="120">
        <v>45803</v>
      </c>
      <c r="L27" s="24"/>
      <c r="M27" s="474"/>
    </row>
    <row r="28" spans="1:19" ht="16.5" customHeight="1" x14ac:dyDescent="0.3">
      <c r="A28" s="352"/>
      <c r="B28" s="27"/>
      <c r="C28" s="109"/>
      <c r="D28" s="29"/>
      <c r="E28" s="28"/>
      <c r="F28" s="139"/>
      <c r="G28" s="102"/>
      <c r="H28" s="33">
        <f>(H27-H26+1)/7</f>
        <v>0.42857142857142855</v>
      </c>
      <c r="I28" s="33">
        <f>(I27-I26+1)/7</f>
        <v>4.4285714285714288</v>
      </c>
      <c r="J28" s="33">
        <f t="shared" ref="J28" si="5">(J27-J26+1)/7</f>
        <v>2</v>
      </c>
      <c r="K28" s="33">
        <f>(K27-K26+1)/7</f>
        <v>2.8571428571428572</v>
      </c>
      <c r="L28" s="35"/>
      <c r="M28" s="475"/>
    </row>
    <row r="29" spans="1:19" ht="16.5" customHeight="1" x14ac:dyDescent="0.3">
      <c r="A29" s="352"/>
      <c r="B29" s="41" t="s">
        <v>67</v>
      </c>
      <c r="C29" s="110"/>
      <c r="D29" s="43">
        <v>16</v>
      </c>
      <c r="E29" s="42"/>
      <c r="F29" s="138">
        <f t="shared" ref="F29" si="6">C29+D29+E29</f>
        <v>16</v>
      </c>
      <c r="G29" s="117">
        <v>45747</v>
      </c>
      <c r="H29" s="37">
        <v>45748</v>
      </c>
      <c r="I29" s="37">
        <v>45756</v>
      </c>
      <c r="J29" s="37"/>
      <c r="K29" s="37">
        <v>45803</v>
      </c>
      <c r="L29" s="21">
        <f>(K30-G29+1)/7</f>
        <v>12.428571428571429</v>
      </c>
      <c r="M29" s="473" t="s">
        <v>119</v>
      </c>
      <c r="O29" s="26"/>
    </row>
    <row r="30" spans="1:19" ht="16.5" customHeight="1" x14ac:dyDescent="0.3">
      <c r="A30" s="352"/>
      <c r="B30" s="13"/>
      <c r="C30" s="108"/>
      <c r="D30" s="15"/>
      <c r="E30" s="14"/>
      <c r="F30" s="138"/>
      <c r="G30" s="101"/>
      <c r="H30" s="19">
        <v>45750</v>
      </c>
      <c r="I30" s="19">
        <v>45804</v>
      </c>
      <c r="J30" s="84"/>
      <c r="K30" s="120">
        <v>45833</v>
      </c>
      <c r="L30" s="24"/>
      <c r="M30" s="474"/>
    </row>
    <row r="31" spans="1:19" ht="16.5" customHeight="1" thickBot="1" x14ac:dyDescent="0.35">
      <c r="A31" s="353"/>
      <c r="B31" s="47"/>
      <c r="C31" s="111"/>
      <c r="D31" s="49"/>
      <c r="E31" s="48"/>
      <c r="F31" s="105"/>
      <c r="G31" s="103"/>
      <c r="H31" s="53">
        <f>(H30-H29+1)/7</f>
        <v>0.42857142857142855</v>
      </c>
      <c r="I31" s="53">
        <f>(I30-I29+1)/7</f>
        <v>7</v>
      </c>
      <c r="J31" s="97"/>
      <c r="K31" s="53">
        <f>(K30-K29+1)/7</f>
        <v>4.4285714285714288</v>
      </c>
      <c r="L31" s="55"/>
      <c r="M31" s="478"/>
      <c r="Q31" s="39"/>
    </row>
    <row r="32" spans="1:19" ht="24" customHeight="1" thickBot="1" x14ac:dyDescent="0.35">
      <c r="A32" s="343" t="s">
        <v>10</v>
      </c>
      <c r="B32" s="344"/>
      <c r="C32" s="112">
        <f>SUM(C14:C31)</f>
        <v>24</v>
      </c>
      <c r="D32" s="58">
        <f>SUM(D14:D31)</f>
        <v>49</v>
      </c>
      <c r="E32" s="57">
        <f>SUM(E14:E31)</f>
        <v>0</v>
      </c>
      <c r="F32" s="140">
        <f>SUM(C32:E32)</f>
        <v>73</v>
      </c>
      <c r="G32" s="480" t="s">
        <v>42</v>
      </c>
      <c r="H32" s="481"/>
      <c r="I32" s="481"/>
      <c r="J32" s="481"/>
      <c r="K32" s="482"/>
      <c r="L32" s="61">
        <f>AVERAGE(L14:L31)</f>
        <v>11.333333333333334</v>
      </c>
      <c r="M32" s="62" t="s">
        <v>41</v>
      </c>
      <c r="O32" s="350" t="s">
        <v>43</v>
      </c>
      <c r="P32" s="350"/>
    </row>
    <row r="33" spans="1:20" ht="15" customHeight="1" x14ac:dyDescent="0.3">
      <c r="A33" s="351" t="s">
        <v>74</v>
      </c>
      <c r="B33" s="63" t="s">
        <v>75</v>
      </c>
      <c r="C33" s="191">
        <v>14</v>
      </c>
      <c r="D33" s="65"/>
      <c r="E33" s="64"/>
      <c r="F33" s="138">
        <f>C33+D33+E33</f>
        <v>14</v>
      </c>
      <c r="G33" s="192">
        <v>45796</v>
      </c>
      <c r="H33" s="68">
        <v>45797</v>
      </c>
      <c r="I33" s="69">
        <v>45803</v>
      </c>
      <c r="J33" s="69"/>
      <c r="K33" s="69">
        <v>45845</v>
      </c>
      <c r="L33" s="147">
        <f>(K34-G33+1)/7</f>
        <v>12.142857142857142</v>
      </c>
      <c r="M33" s="499" t="s">
        <v>76</v>
      </c>
      <c r="N33" s="71"/>
      <c r="O33" s="5" t="s">
        <v>47</v>
      </c>
      <c r="P33" s="72" t="e">
        <f>AVERAGE(H35,H38,H41,H44,H47,H62,#REF!,#REF!,#REF!,#REF!)</f>
        <v>#REF!</v>
      </c>
      <c r="Q33" s="5">
        <v>1</v>
      </c>
      <c r="R33" s="39"/>
    </row>
    <row r="34" spans="1:20" ht="15" customHeight="1" x14ac:dyDescent="0.3">
      <c r="A34" s="352"/>
      <c r="B34" s="13"/>
      <c r="C34" s="108"/>
      <c r="D34" s="15"/>
      <c r="E34" s="14"/>
      <c r="F34" s="138"/>
      <c r="G34" s="118"/>
      <c r="H34" s="19">
        <v>45799</v>
      </c>
      <c r="I34" s="20">
        <v>45842</v>
      </c>
      <c r="J34" s="20"/>
      <c r="K34" s="23">
        <v>45880</v>
      </c>
      <c r="L34" s="136"/>
      <c r="M34" s="493"/>
      <c r="N34" s="71"/>
      <c r="O34" s="5" t="s">
        <v>48</v>
      </c>
      <c r="P34" s="72" t="e">
        <f>AVERAGE(I35,I38,I41,I44,I47,I62,#REF!,#REF!,#REF!,#REF!)</f>
        <v>#REF!</v>
      </c>
      <c r="Q34" s="5">
        <v>6</v>
      </c>
    </row>
    <row r="35" spans="1:20" ht="15" customHeight="1" x14ac:dyDescent="0.3">
      <c r="A35" s="352"/>
      <c r="B35" s="27"/>
      <c r="C35" s="109"/>
      <c r="D35" s="29"/>
      <c r="E35" s="28"/>
      <c r="F35" s="139"/>
      <c r="G35" s="119"/>
      <c r="H35" s="33">
        <f>(H34-H33+1)/7</f>
        <v>0.42857142857142855</v>
      </c>
      <c r="I35" s="34">
        <f>(I34-I33+1)/7</f>
        <v>5.7142857142857144</v>
      </c>
      <c r="J35" s="34"/>
      <c r="K35" s="34">
        <f>(K34-K33+1)/7</f>
        <v>5.1428571428571432</v>
      </c>
      <c r="L35" s="137"/>
      <c r="M35" s="494"/>
      <c r="N35" s="71"/>
      <c r="O35" s="5" t="s">
        <v>49</v>
      </c>
      <c r="P35" s="72" t="e">
        <f>AVERAGE(K35,K38,K41,K44,K47,K62,#REF!,#REF!,#REF!,#REF!)</f>
        <v>#REF!</v>
      </c>
      <c r="Q35" s="5">
        <v>5</v>
      </c>
      <c r="R35" s="39"/>
    </row>
    <row r="36" spans="1:20" ht="15" customHeight="1" x14ac:dyDescent="0.3">
      <c r="A36" s="352"/>
      <c r="B36" s="13" t="s">
        <v>77</v>
      </c>
      <c r="C36" s="108">
        <v>16</v>
      </c>
      <c r="D36" s="15"/>
      <c r="E36" s="14"/>
      <c r="F36" s="138">
        <f t="shared" ref="F36" si="7">C36+D36+E36</f>
        <v>16</v>
      </c>
      <c r="G36" s="106">
        <v>45831</v>
      </c>
      <c r="H36" s="19">
        <v>45832</v>
      </c>
      <c r="I36" s="38">
        <v>45841</v>
      </c>
      <c r="J36" s="38">
        <v>45873</v>
      </c>
      <c r="K36" s="38">
        <v>45880</v>
      </c>
      <c r="L36" s="136">
        <f>(K37-G36+1)/7</f>
        <v>12.285714285714286</v>
      </c>
      <c r="M36" s="492" t="s">
        <v>78</v>
      </c>
      <c r="P36" s="76"/>
      <c r="Q36" s="39"/>
    </row>
    <row r="37" spans="1:20" ht="15" customHeight="1" x14ac:dyDescent="0.3">
      <c r="A37" s="352"/>
      <c r="B37" s="13"/>
      <c r="C37" s="108"/>
      <c r="D37" s="15"/>
      <c r="E37" s="14"/>
      <c r="F37" s="138"/>
      <c r="G37" s="118"/>
      <c r="H37" s="19">
        <v>45834</v>
      </c>
      <c r="I37" s="20">
        <v>45871</v>
      </c>
      <c r="J37" s="20">
        <v>45879</v>
      </c>
      <c r="K37" s="23">
        <v>45916</v>
      </c>
      <c r="L37" s="136"/>
      <c r="M37" s="493"/>
    </row>
    <row r="38" spans="1:20" ht="15" customHeight="1" x14ac:dyDescent="0.3">
      <c r="A38" s="352"/>
      <c r="B38" s="27"/>
      <c r="C38" s="109"/>
      <c r="D38" s="29"/>
      <c r="E38" s="28"/>
      <c r="F38" s="139"/>
      <c r="G38" s="119"/>
      <c r="H38" s="33">
        <f t="shared" ref="H38:K38" si="8">(H37-H36+1)/7</f>
        <v>0.42857142857142855</v>
      </c>
      <c r="I38" s="34">
        <f t="shared" si="8"/>
        <v>4.4285714285714288</v>
      </c>
      <c r="J38" s="189">
        <f t="shared" si="8"/>
        <v>1</v>
      </c>
      <c r="K38" s="34">
        <f t="shared" si="8"/>
        <v>5.2857142857142856</v>
      </c>
      <c r="L38" s="137"/>
      <c r="M38" s="494"/>
      <c r="P38" s="39"/>
      <c r="R38" s="39"/>
    </row>
    <row r="39" spans="1:20" ht="15" customHeight="1" x14ac:dyDescent="0.3">
      <c r="A39" s="352"/>
      <c r="B39" s="133" t="s">
        <v>79</v>
      </c>
      <c r="C39" s="127">
        <v>16</v>
      </c>
      <c r="D39" s="126"/>
      <c r="E39" s="128"/>
      <c r="F39" s="141">
        <f t="shared" ref="F39" si="9">C39+D39+E39</f>
        <v>16</v>
      </c>
      <c r="G39" s="18">
        <v>45866</v>
      </c>
      <c r="H39" s="20">
        <v>45867</v>
      </c>
      <c r="I39" s="38">
        <v>45873</v>
      </c>
      <c r="J39" s="38">
        <v>45908</v>
      </c>
      <c r="K39" s="38">
        <v>45915</v>
      </c>
      <c r="L39" s="135">
        <f>(K40-G39+1)/7</f>
        <v>12.571428571428571</v>
      </c>
      <c r="M39" s="492" t="s">
        <v>80</v>
      </c>
      <c r="O39" s="39"/>
      <c r="T39" s="39"/>
    </row>
    <row r="40" spans="1:20" ht="15" customHeight="1" x14ac:dyDescent="0.3">
      <c r="A40" s="352"/>
      <c r="B40" s="133"/>
      <c r="C40" s="127"/>
      <c r="D40" s="126"/>
      <c r="E40" s="128"/>
      <c r="F40" s="141"/>
      <c r="G40" s="22"/>
      <c r="H40" s="20">
        <v>45869</v>
      </c>
      <c r="I40" s="20">
        <v>45905</v>
      </c>
      <c r="J40" s="20">
        <v>45914</v>
      </c>
      <c r="K40" s="23">
        <v>45953</v>
      </c>
      <c r="L40" s="136"/>
      <c r="M40" s="493"/>
      <c r="O40" s="77"/>
      <c r="Q40" s="77"/>
      <c r="R40" s="77"/>
    </row>
    <row r="41" spans="1:20" ht="15" customHeight="1" x14ac:dyDescent="0.3">
      <c r="A41" s="352"/>
      <c r="B41" s="148"/>
      <c r="C41" s="129"/>
      <c r="D41" s="130"/>
      <c r="E41" s="131"/>
      <c r="F41" s="142"/>
      <c r="G41" s="32"/>
      <c r="H41" s="34">
        <f t="shared" ref="H41:K41" si="10">(H40-H39+1)/7</f>
        <v>0.42857142857142855</v>
      </c>
      <c r="I41" s="34">
        <f t="shared" si="10"/>
        <v>4.7142857142857144</v>
      </c>
      <c r="J41" s="189">
        <f t="shared" si="10"/>
        <v>1</v>
      </c>
      <c r="K41" s="34">
        <f t="shared" si="10"/>
        <v>5.5714285714285712</v>
      </c>
      <c r="L41" s="137"/>
      <c r="M41" s="494"/>
      <c r="O41" s="77">
        <v>11.1</v>
      </c>
      <c r="P41" s="77">
        <v>15.1</v>
      </c>
      <c r="Q41" s="77">
        <f t="shared" ref="Q41:Q46" si="11">O41-P41</f>
        <v>-4</v>
      </c>
      <c r="R41" s="77"/>
    </row>
    <row r="42" spans="1:20" ht="15" customHeight="1" x14ac:dyDescent="0.3">
      <c r="A42" s="352"/>
      <c r="B42" s="133" t="s">
        <v>81</v>
      </c>
      <c r="C42" s="127">
        <v>16</v>
      </c>
      <c r="D42" s="126"/>
      <c r="E42" s="128"/>
      <c r="F42" s="141">
        <f t="shared" ref="F42" si="12">C42+D42+E42</f>
        <v>16</v>
      </c>
      <c r="G42" s="18">
        <v>45901</v>
      </c>
      <c r="H42" s="20">
        <v>45902</v>
      </c>
      <c r="I42" s="38">
        <v>45908</v>
      </c>
      <c r="J42" s="38"/>
      <c r="K42" s="38">
        <v>45950</v>
      </c>
      <c r="L42" s="135">
        <f>(K43-G42+1)/7</f>
        <v>11.714285714285714</v>
      </c>
      <c r="M42" s="492" t="s">
        <v>82</v>
      </c>
      <c r="O42" s="77">
        <v>10.7</v>
      </c>
      <c r="P42" s="77">
        <v>15.1</v>
      </c>
      <c r="Q42" s="77">
        <f t="shared" si="11"/>
        <v>-4.4000000000000004</v>
      </c>
      <c r="R42" s="77"/>
    </row>
    <row r="43" spans="1:20" ht="15" customHeight="1" x14ac:dyDescent="0.3">
      <c r="A43" s="352"/>
      <c r="B43" s="133"/>
      <c r="C43" s="127"/>
      <c r="D43" s="126"/>
      <c r="E43" s="128"/>
      <c r="F43" s="141"/>
      <c r="G43" s="22"/>
      <c r="H43" s="20">
        <v>45904</v>
      </c>
      <c r="I43" s="20">
        <v>45945</v>
      </c>
      <c r="J43" s="20"/>
      <c r="K43" s="23">
        <v>45982</v>
      </c>
      <c r="L43" s="136"/>
      <c r="M43" s="493"/>
      <c r="O43" s="77">
        <v>10.3</v>
      </c>
      <c r="P43" s="77">
        <v>14.7</v>
      </c>
      <c r="Q43" s="77">
        <f t="shared" si="11"/>
        <v>-4.3999999999999986</v>
      </c>
      <c r="R43" s="77"/>
    </row>
    <row r="44" spans="1:20" ht="15" customHeight="1" x14ac:dyDescent="0.3">
      <c r="A44" s="352"/>
      <c r="B44" s="148"/>
      <c r="C44" s="129"/>
      <c r="D44" s="130"/>
      <c r="E44" s="131"/>
      <c r="F44" s="142"/>
      <c r="G44" s="32"/>
      <c r="H44" s="34">
        <f t="shared" ref="H44:K44" si="13">(H43-H42+1)/7</f>
        <v>0.42857142857142855</v>
      </c>
      <c r="I44" s="34">
        <f t="shared" si="13"/>
        <v>5.4285714285714288</v>
      </c>
      <c r="J44" s="34"/>
      <c r="K44" s="34">
        <f t="shared" si="13"/>
        <v>4.7142857142857144</v>
      </c>
      <c r="L44" s="137"/>
      <c r="M44" s="494"/>
      <c r="O44" s="77">
        <v>7.7</v>
      </c>
      <c r="P44" s="77">
        <v>10.7</v>
      </c>
      <c r="Q44" s="77">
        <f t="shared" si="11"/>
        <v>-2.9999999999999991</v>
      </c>
      <c r="R44" s="77"/>
    </row>
    <row r="45" spans="1:20" ht="15" customHeight="1" x14ac:dyDescent="0.3">
      <c r="A45" s="352"/>
      <c r="B45" s="163" t="s">
        <v>83</v>
      </c>
      <c r="C45" s="155">
        <v>16</v>
      </c>
      <c r="D45" s="156"/>
      <c r="E45" s="183">
        <v>8</v>
      </c>
      <c r="F45" s="158">
        <f t="shared" ref="F45" si="14">C45+D45+E45</f>
        <v>24</v>
      </c>
      <c r="G45" s="187">
        <v>45929</v>
      </c>
      <c r="H45" s="160">
        <v>45930</v>
      </c>
      <c r="I45" s="161">
        <v>45943</v>
      </c>
      <c r="J45" s="161"/>
      <c r="K45" s="161">
        <v>45985</v>
      </c>
      <c r="L45" s="162">
        <f>(K46-G45+1)/7</f>
        <v>15.714285714285714</v>
      </c>
      <c r="M45" s="495" t="s">
        <v>100</v>
      </c>
      <c r="O45" s="77">
        <v>9.6999999999999993</v>
      </c>
      <c r="P45" s="77">
        <v>9.6999999999999993</v>
      </c>
      <c r="Q45" s="77">
        <f t="shared" si="11"/>
        <v>0</v>
      </c>
      <c r="R45" s="77"/>
    </row>
    <row r="46" spans="1:20" ht="15" customHeight="1" x14ac:dyDescent="0.3">
      <c r="A46" s="352"/>
      <c r="B46" s="163"/>
      <c r="C46" s="155"/>
      <c r="D46" s="156"/>
      <c r="E46" s="157"/>
      <c r="F46" s="158"/>
      <c r="G46" s="164"/>
      <c r="H46" s="160">
        <v>45932</v>
      </c>
      <c r="I46" s="160">
        <v>45980</v>
      </c>
      <c r="J46" s="160"/>
      <c r="K46" s="165">
        <v>46038</v>
      </c>
      <c r="L46" s="166"/>
      <c r="M46" s="496"/>
      <c r="O46" s="77">
        <v>9.6</v>
      </c>
      <c r="P46" s="77">
        <v>9.6</v>
      </c>
      <c r="Q46" s="77">
        <f t="shared" si="11"/>
        <v>0</v>
      </c>
      <c r="R46" s="77"/>
      <c r="S46" s="72"/>
    </row>
    <row r="47" spans="1:20" ht="15" customHeight="1" x14ac:dyDescent="0.3">
      <c r="A47" s="352"/>
      <c r="B47" s="167"/>
      <c r="C47" s="168"/>
      <c r="D47" s="169"/>
      <c r="E47" s="170"/>
      <c r="F47" s="171"/>
      <c r="G47" s="172"/>
      <c r="H47" s="173">
        <f t="shared" ref="H47:K47" si="15">(H46-H45+1)/7</f>
        <v>0.42857142857142855</v>
      </c>
      <c r="I47" s="173">
        <f t="shared" si="15"/>
        <v>5.4285714285714288</v>
      </c>
      <c r="J47" s="173"/>
      <c r="K47" s="173">
        <f t="shared" si="15"/>
        <v>7.7142857142857144</v>
      </c>
      <c r="L47" s="174"/>
      <c r="M47" s="497"/>
      <c r="O47" s="77"/>
      <c r="P47" s="77"/>
      <c r="Q47" s="77"/>
      <c r="R47" s="77"/>
    </row>
    <row r="48" spans="1:20" ht="15" customHeight="1" x14ac:dyDescent="0.3">
      <c r="A48" s="352"/>
      <c r="B48" s="175" t="s">
        <v>84</v>
      </c>
      <c r="C48" s="176"/>
      <c r="D48" s="177">
        <v>16</v>
      </c>
      <c r="E48" s="178">
        <v>6</v>
      </c>
      <c r="F48" s="158">
        <f>C48+D48+E48</f>
        <v>22</v>
      </c>
      <c r="G48" s="159">
        <v>45971</v>
      </c>
      <c r="H48" s="161">
        <v>45972</v>
      </c>
      <c r="I48" s="161">
        <v>45978</v>
      </c>
      <c r="J48" s="161">
        <v>46020</v>
      </c>
      <c r="K48" s="161">
        <v>46037</v>
      </c>
      <c r="L48" s="162">
        <f>(K49-G48+1)/7</f>
        <v>15.857142857142858</v>
      </c>
      <c r="M48" s="495" t="s">
        <v>101</v>
      </c>
      <c r="O48" s="77"/>
      <c r="P48" s="77"/>
      <c r="Q48" s="77"/>
      <c r="R48" s="77"/>
    </row>
    <row r="49" spans="1:18" ht="15" customHeight="1" x14ac:dyDescent="0.3">
      <c r="A49" s="352"/>
      <c r="B49" s="179"/>
      <c r="C49" s="155"/>
      <c r="D49" s="156"/>
      <c r="E49" s="180"/>
      <c r="F49" s="158"/>
      <c r="G49" s="164"/>
      <c r="H49" s="160">
        <v>45974</v>
      </c>
      <c r="I49" s="160">
        <v>46017</v>
      </c>
      <c r="J49" s="160">
        <v>46033</v>
      </c>
      <c r="K49" s="165">
        <v>46081</v>
      </c>
      <c r="L49" s="166"/>
      <c r="M49" s="496"/>
      <c r="O49" s="77"/>
      <c r="P49" s="77"/>
      <c r="Q49" s="77"/>
      <c r="R49" s="77"/>
    </row>
    <row r="50" spans="1:18" ht="15" customHeight="1" x14ac:dyDescent="0.3">
      <c r="A50" s="352"/>
      <c r="B50" s="181"/>
      <c r="C50" s="168"/>
      <c r="D50" s="169"/>
      <c r="E50" s="182"/>
      <c r="F50" s="171"/>
      <c r="G50" s="172"/>
      <c r="H50" s="173">
        <f t="shared" ref="H50:K50" si="16">(H49-H48+1)/7</f>
        <v>0.42857142857142855</v>
      </c>
      <c r="I50" s="173">
        <f t="shared" si="16"/>
        <v>5.7142857142857144</v>
      </c>
      <c r="J50" s="188">
        <f t="shared" si="16"/>
        <v>2</v>
      </c>
      <c r="K50" s="173">
        <f t="shared" si="16"/>
        <v>6.4285714285714288</v>
      </c>
      <c r="L50" s="174"/>
      <c r="M50" s="497"/>
      <c r="O50" s="77"/>
      <c r="P50" s="77"/>
      <c r="Q50" s="77"/>
      <c r="R50" s="77"/>
    </row>
    <row r="51" spans="1:18" ht="15" customHeight="1" x14ac:dyDescent="0.3">
      <c r="A51" s="352"/>
      <c r="B51" s="163" t="s">
        <v>85</v>
      </c>
      <c r="C51" s="155">
        <v>9</v>
      </c>
      <c r="D51" s="156">
        <v>7</v>
      </c>
      <c r="E51" s="183">
        <v>5</v>
      </c>
      <c r="F51" s="158">
        <f>C51+D51+E51</f>
        <v>21</v>
      </c>
      <c r="G51" s="159">
        <v>46006</v>
      </c>
      <c r="H51" s="161">
        <v>46007</v>
      </c>
      <c r="I51" s="161">
        <v>46014</v>
      </c>
      <c r="J51" s="161">
        <v>46055</v>
      </c>
      <c r="K51" s="161">
        <v>46083</v>
      </c>
      <c r="L51" s="162">
        <f>(K52-G51+1)/7</f>
        <v>15.714285714285714</v>
      </c>
      <c r="M51" s="495" t="s">
        <v>102</v>
      </c>
      <c r="O51" s="77"/>
      <c r="P51" s="77"/>
      <c r="Q51" s="77"/>
      <c r="R51" s="77"/>
    </row>
    <row r="52" spans="1:18" ht="15" customHeight="1" x14ac:dyDescent="0.3">
      <c r="A52" s="352"/>
      <c r="B52" s="163"/>
      <c r="C52" s="155"/>
      <c r="D52" s="156"/>
      <c r="E52" s="180"/>
      <c r="F52" s="158"/>
      <c r="G52" s="164"/>
      <c r="H52" s="160">
        <v>46009</v>
      </c>
      <c r="I52" s="160">
        <v>46052</v>
      </c>
      <c r="J52" s="160">
        <v>46082</v>
      </c>
      <c r="K52" s="165">
        <v>46115</v>
      </c>
      <c r="L52" s="166"/>
      <c r="M52" s="496"/>
      <c r="O52" s="77"/>
      <c r="P52" s="77"/>
      <c r="Q52" s="77"/>
      <c r="R52" s="77"/>
    </row>
    <row r="53" spans="1:18" ht="15" customHeight="1" x14ac:dyDescent="0.3">
      <c r="A53" s="352"/>
      <c r="B53" s="181"/>
      <c r="C53" s="168"/>
      <c r="D53" s="169"/>
      <c r="E53" s="182"/>
      <c r="F53" s="171"/>
      <c r="G53" s="172"/>
      <c r="H53" s="173">
        <f t="shared" ref="H53:K53" si="17">(H52-H51+1)/7</f>
        <v>0.42857142857142855</v>
      </c>
      <c r="I53" s="173">
        <f t="shared" si="17"/>
        <v>5.5714285714285712</v>
      </c>
      <c r="J53" s="188">
        <f t="shared" si="17"/>
        <v>4</v>
      </c>
      <c r="K53" s="173">
        <f t="shared" si="17"/>
        <v>4.7142857142857144</v>
      </c>
      <c r="L53" s="174"/>
      <c r="M53" s="497"/>
      <c r="O53" s="77"/>
      <c r="P53" s="77"/>
      <c r="Q53" s="77"/>
      <c r="R53" s="77"/>
    </row>
    <row r="54" spans="1:18" ht="15" customHeight="1" x14ac:dyDescent="0.3">
      <c r="A54" s="352"/>
      <c r="B54" s="132" t="s">
        <v>86</v>
      </c>
      <c r="C54" s="127"/>
      <c r="D54" s="126">
        <v>16</v>
      </c>
      <c r="E54" s="184"/>
      <c r="F54" s="141">
        <f t="shared" ref="F54" si="18">C54+D54+E54</f>
        <v>16</v>
      </c>
      <c r="G54" s="18">
        <v>46041</v>
      </c>
      <c r="H54" s="38">
        <v>46042</v>
      </c>
      <c r="I54" s="38">
        <v>46050</v>
      </c>
      <c r="J54" s="38">
        <v>46083</v>
      </c>
      <c r="K54" s="38">
        <v>46118</v>
      </c>
      <c r="L54" s="135">
        <f>(K55-G54+1)/7</f>
        <v>14.857142857142858</v>
      </c>
      <c r="M54" s="492" t="s">
        <v>103</v>
      </c>
      <c r="O54" s="77"/>
      <c r="P54" s="77"/>
      <c r="Q54" s="77"/>
      <c r="R54" s="77"/>
    </row>
    <row r="55" spans="1:18" ht="15" customHeight="1" x14ac:dyDescent="0.3">
      <c r="A55" s="352"/>
      <c r="B55" s="133"/>
      <c r="C55" s="127"/>
      <c r="D55" s="126"/>
      <c r="E55" s="185"/>
      <c r="F55" s="141"/>
      <c r="G55" s="22"/>
      <c r="H55" s="20">
        <v>46044</v>
      </c>
      <c r="I55" s="20">
        <v>46077</v>
      </c>
      <c r="J55" s="20">
        <v>46117</v>
      </c>
      <c r="K55" s="23">
        <v>46144</v>
      </c>
      <c r="L55" s="136"/>
      <c r="M55" s="493"/>
      <c r="O55" s="77"/>
      <c r="P55" s="77"/>
      <c r="Q55" s="77"/>
      <c r="R55" s="77"/>
    </row>
    <row r="56" spans="1:18" ht="15" customHeight="1" x14ac:dyDescent="0.3">
      <c r="A56" s="352"/>
      <c r="B56" s="134"/>
      <c r="C56" s="129"/>
      <c r="D56" s="130"/>
      <c r="E56" s="186"/>
      <c r="F56" s="142"/>
      <c r="G56" s="32"/>
      <c r="H56" s="34">
        <f t="shared" ref="H56:K56" si="19">(H55-H54+1)/7</f>
        <v>0.42857142857142855</v>
      </c>
      <c r="I56" s="34">
        <f t="shared" si="19"/>
        <v>4</v>
      </c>
      <c r="J56" s="189">
        <f t="shared" si="19"/>
        <v>5</v>
      </c>
      <c r="K56" s="34">
        <f t="shared" si="19"/>
        <v>3.8571428571428572</v>
      </c>
      <c r="L56" s="137"/>
      <c r="M56" s="494"/>
      <c r="O56" s="77"/>
      <c r="P56" s="77"/>
      <c r="Q56" s="77"/>
      <c r="R56" s="77"/>
    </row>
    <row r="57" spans="1:18" ht="15" customHeight="1" x14ac:dyDescent="0.3">
      <c r="A57" s="352"/>
      <c r="B57" s="133" t="s">
        <v>87</v>
      </c>
      <c r="C57" s="127"/>
      <c r="D57" s="126">
        <v>18</v>
      </c>
      <c r="E57" s="128"/>
      <c r="F57" s="141">
        <f t="shared" ref="F57" si="20">C57+D57+E57</f>
        <v>18</v>
      </c>
      <c r="G57" s="18">
        <v>46076</v>
      </c>
      <c r="H57" s="38">
        <v>46077</v>
      </c>
      <c r="I57" s="38">
        <v>46084</v>
      </c>
      <c r="J57" s="38">
        <v>46118</v>
      </c>
      <c r="K57" s="38">
        <v>46146</v>
      </c>
      <c r="L57" s="135">
        <f>(K58-G57+1)/7</f>
        <v>14.285714285714286</v>
      </c>
      <c r="M57" s="492" t="s">
        <v>104</v>
      </c>
      <c r="O57" s="77"/>
      <c r="P57" s="77"/>
      <c r="Q57" s="77"/>
      <c r="R57" s="77"/>
    </row>
    <row r="58" spans="1:18" ht="15" customHeight="1" x14ac:dyDescent="0.3">
      <c r="A58" s="352"/>
      <c r="B58" s="133"/>
      <c r="C58" s="127"/>
      <c r="D58" s="126"/>
      <c r="E58" s="128"/>
      <c r="F58" s="141"/>
      <c r="G58" s="22"/>
      <c r="H58" s="20">
        <v>46079</v>
      </c>
      <c r="I58" s="20">
        <v>46113</v>
      </c>
      <c r="J58" s="20">
        <v>46145</v>
      </c>
      <c r="K58" s="23">
        <v>46175</v>
      </c>
      <c r="L58" s="136"/>
      <c r="M58" s="493"/>
      <c r="O58" s="77"/>
      <c r="P58" s="77"/>
      <c r="Q58" s="77"/>
      <c r="R58" s="77"/>
    </row>
    <row r="59" spans="1:18" ht="15" customHeight="1" x14ac:dyDescent="0.3">
      <c r="A59" s="352"/>
      <c r="B59" s="134"/>
      <c r="C59" s="129"/>
      <c r="D59" s="130"/>
      <c r="E59" s="131"/>
      <c r="F59" s="142"/>
      <c r="G59" s="32"/>
      <c r="H59" s="34">
        <f t="shared" ref="H59:K59" si="21">(H58-H57+1)/7</f>
        <v>0.42857142857142855</v>
      </c>
      <c r="I59" s="34">
        <f t="shared" si="21"/>
        <v>4.2857142857142856</v>
      </c>
      <c r="J59" s="189">
        <f t="shared" si="21"/>
        <v>4</v>
      </c>
      <c r="K59" s="34">
        <f t="shared" si="21"/>
        <v>4.2857142857142856</v>
      </c>
      <c r="L59" s="137"/>
      <c r="M59" s="494"/>
      <c r="O59" s="77"/>
      <c r="P59" s="77"/>
      <c r="Q59" s="77"/>
      <c r="R59" s="77"/>
    </row>
    <row r="60" spans="1:18" ht="15" customHeight="1" x14ac:dyDescent="0.3">
      <c r="A60" s="352"/>
      <c r="B60" s="133" t="s">
        <v>88</v>
      </c>
      <c r="C60" s="127"/>
      <c r="D60" s="126">
        <v>18</v>
      </c>
      <c r="E60" s="128"/>
      <c r="F60" s="141">
        <f t="shared" ref="F60" si="22">C60+D60+E60</f>
        <v>18</v>
      </c>
      <c r="G60" s="18">
        <v>46104</v>
      </c>
      <c r="H60" s="38">
        <v>46105</v>
      </c>
      <c r="I60" s="38">
        <v>46114</v>
      </c>
      <c r="J60" s="20">
        <v>46146</v>
      </c>
      <c r="K60" s="38">
        <v>46176</v>
      </c>
      <c r="L60" s="135">
        <f>(K61-G60+1)/7</f>
        <v>15.714285714285714</v>
      </c>
      <c r="M60" s="492" t="s">
        <v>105</v>
      </c>
      <c r="O60" s="77"/>
      <c r="P60" s="77"/>
      <c r="Q60" s="77"/>
      <c r="R60" s="77"/>
    </row>
    <row r="61" spans="1:18" ht="15" customHeight="1" x14ac:dyDescent="0.3">
      <c r="A61" s="352"/>
      <c r="B61" s="133"/>
      <c r="C61" s="127"/>
      <c r="D61" s="126"/>
      <c r="E61" s="128"/>
      <c r="F61" s="141"/>
      <c r="G61" s="22"/>
      <c r="H61" s="20">
        <v>46107</v>
      </c>
      <c r="I61" s="20">
        <v>46142</v>
      </c>
      <c r="J61" s="20">
        <v>46173</v>
      </c>
      <c r="K61" s="23">
        <v>46213</v>
      </c>
      <c r="L61" s="136"/>
      <c r="M61" s="493"/>
      <c r="O61" s="77"/>
      <c r="P61" s="77"/>
      <c r="Q61" s="77"/>
      <c r="R61" s="77"/>
    </row>
    <row r="62" spans="1:18" ht="15" customHeight="1" thickBot="1" x14ac:dyDescent="0.35">
      <c r="A62" s="353"/>
      <c r="B62" s="149"/>
      <c r="C62" s="150"/>
      <c r="D62" s="151"/>
      <c r="E62" s="152"/>
      <c r="F62" s="153"/>
      <c r="G62" s="52"/>
      <c r="H62" s="54">
        <f t="shared" ref="H62:K62" si="23">(H61-H60+1)/7</f>
        <v>0.42857142857142855</v>
      </c>
      <c r="I62" s="54">
        <f t="shared" si="23"/>
        <v>4.1428571428571432</v>
      </c>
      <c r="J62" s="190">
        <f t="shared" si="23"/>
        <v>4</v>
      </c>
      <c r="K62" s="54">
        <f t="shared" si="23"/>
        <v>5.4285714285714288</v>
      </c>
      <c r="L62" s="154"/>
      <c r="M62" s="498"/>
      <c r="O62" s="77"/>
      <c r="P62" s="77"/>
      <c r="Q62" s="77"/>
      <c r="R62" s="77"/>
    </row>
    <row r="63" spans="1:18" ht="24" customHeight="1" thickBot="1" x14ac:dyDescent="0.35">
      <c r="A63" s="343" t="s">
        <v>10</v>
      </c>
      <c r="B63" s="344"/>
      <c r="C63" s="112">
        <f>SUM(C33:C62)</f>
        <v>87</v>
      </c>
      <c r="D63" s="114">
        <f t="shared" ref="D63:E63" si="24">SUM(D33:D62)</f>
        <v>75</v>
      </c>
      <c r="E63" s="57">
        <f t="shared" si="24"/>
        <v>19</v>
      </c>
      <c r="F63" s="140">
        <f>SUM(C63:E63)</f>
        <v>181</v>
      </c>
      <c r="G63" s="453" t="s">
        <v>42</v>
      </c>
      <c r="H63" s="454"/>
      <c r="I63" s="454"/>
      <c r="J63" s="454"/>
      <c r="K63" s="455"/>
      <c r="L63" s="61">
        <f>AVERAGE(L33:L62)</f>
        <v>14.085714285714285</v>
      </c>
      <c r="M63" s="62" t="s">
        <v>41</v>
      </c>
    </row>
    <row r="64" spans="1:18" ht="24" customHeight="1" thickBot="1" x14ac:dyDescent="0.35">
      <c r="A64" s="345" t="s">
        <v>69</v>
      </c>
      <c r="B64" s="346"/>
      <c r="C64" s="112">
        <f>C32+C63</f>
        <v>111</v>
      </c>
      <c r="D64" s="114">
        <f t="shared" ref="D64:E64" si="25">D32+D63</f>
        <v>124</v>
      </c>
      <c r="E64" s="57">
        <f t="shared" si="25"/>
        <v>19</v>
      </c>
      <c r="F64" s="140">
        <f>SUM(C64:E64)</f>
        <v>254</v>
      </c>
      <c r="G64" s="456" t="s">
        <v>70</v>
      </c>
      <c r="H64" s="457"/>
      <c r="I64" s="457"/>
      <c r="J64" s="457"/>
      <c r="K64" s="458"/>
      <c r="L64" s="61">
        <f>AVERAGE(L32,L63)</f>
        <v>12.709523809523809</v>
      </c>
      <c r="M64" s="62" t="s">
        <v>41</v>
      </c>
    </row>
    <row r="65" spans="1:13" ht="45.75" customHeight="1" x14ac:dyDescent="0.3">
      <c r="A65" s="347" t="s">
        <v>71</v>
      </c>
      <c r="B65" s="347"/>
      <c r="C65" s="347"/>
      <c r="D65" s="347"/>
      <c r="E65" s="347"/>
      <c r="F65" s="347"/>
      <c r="G65" s="347"/>
      <c r="H65" s="347"/>
      <c r="I65" s="347"/>
      <c r="J65" s="347"/>
      <c r="K65" s="347"/>
      <c r="L65" s="347"/>
      <c r="M65" s="347"/>
    </row>
    <row r="66" spans="1:13" x14ac:dyDescent="0.3">
      <c r="H66" s="39"/>
    </row>
    <row r="67" spans="1:13" x14ac:dyDescent="0.3">
      <c r="G67" s="39"/>
      <c r="H67" s="39"/>
    </row>
    <row r="68" spans="1:13" x14ac:dyDescent="0.3">
      <c r="C68" s="39"/>
      <c r="D68" s="39"/>
      <c r="G68" s="39"/>
    </row>
  </sheetData>
  <mergeCells count="55">
    <mergeCell ref="A1:M1"/>
    <mergeCell ref="A3:B3"/>
    <mergeCell ref="A4:B4"/>
    <mergeCell ref="C4:F4"/>
    <mergeCell ref="G4:H4"/>
    <mergeCell ref="I4:M4"/>
    <mergeCell ref="A5:B5"/>
    <mergeCell ref="C5:F5"/>
    <mergeCell ref="G5:H5"/>
    <mergeCell ref="I5:M7"/>
    <mergeCell ref="A6:B6"/>
    <mergeCell ref="C6:F6"/>
    <mergeCell ref="G6:H6"/>
    <mergeCell ref="A7:B7"/>
    <mergeCell ref="C7:F7"/>
    <mergeCell ref="G7:H7"/>
    <mergeCell ref="A8:B8"/>
    <mergeCell ref="C8:F8"/>
    <mergeCell ref="G8:H8"/>
    <mergeCell ref="I8:M8"/>
    <mergeCell ref="A10:B10"/>
    <mergeCell ref="M11:M13"/>
    <mergeCell ref="C12:D12"/>
    <mergeCell ref="G12:L12"/>
    <mergeCell ref="A14:A31"/>
    <mergeCell ref="M14:M16"/>
    <mergeCell ref="M17:M19"/>
    <mergeCell ref="M20:M22"/>
    <mergeCell ref="M23:M25"/>
    <mergeCell ref="M26:M28"/>
    <mergeCell ref="M29:M31"/>
    <mergeCell ref="A11:A13"/>
    <mergeCell ref="B11:B13"/>
    <mergeCell ref="C11:E11"/>
    <mergeCell ref="F11:F13"/>
    <mergeCell ref="G11:L11"/>
    <mergeCell ref="A32:B32"/>
    <mergeCell ref="G32:K32"/>
    <mergeCell ref="O32:P32"/>
    <mergeCell ref="A33:A62"/>
    <mergeCell ref="M33:M35"/>
    <mergeCell ref="M36:M38"/>
    <mergeCell ref="M39:M41"/>
    <mergeCell ref="M42:M44"/>
    <mergeCell ref="M45:M47"/>
    <mergeCell ref="M48:M50"/>
    <mergeCell ref="A64:B64"/>
    <mergeCell ref="G64:K64"/>
    <mergeCell ref="A65:M65"/>
    <mergeCell ref="M51:M53"/>
    <mergeCell ref="M54:M56"/>
    <mergeCell ref="M57:M59"/>
    <mergeCell ref="M60:M62"/>
    <mergeCell ref="A63:B63"/>
    <mergeCell ref="G63:K63"/>
  </mergeCells>
  <phoneticPr fontId="2" type="noConversion"/>
  <printOptions horizontalCentered="1"/>
  <pageMargins left="0.31496062992125984" right="0.31496062992125984" top="0.74803149606299213" bottom="0.39370078740157483" header="0.31496062992125984" footer="0.31496062992125984"/>
  <pageSetup paperSize="9" scale="6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F3366-2079-445E-8CE3-677E4AD368C4}">
  <sheetPr>
    <pageSetUpPr fitToPage="1"/>
  </sheetPr>
  <dimension ref="A1:T68"/>
  <sheetViews>
    <sheetView showGridLines="0" workbookViewId="0">
      <selection activeCell="F20" sqref="F20"/>
    </sheetView>
  </sheetViews>
  <sheetFormatPr defaultColWidth="9" defaultRowHeight="16.5" x14ac:dyDescent="0.3"/>
  <cols>
    <col min="1" max="1" width="10.5" style="5" customWidth="1"/>
    <col min="2" max="2" width="12.125" style="5" customWidth="1"/>
    <col min="3" max="6" width="6.375" style="5" customWidth="1"/>
    <col min="7" max="12" width="11.625" style="5" customWidth="1"/>
    <col min="13" max="13" width="16.25" style="100" customWidth="1"/>
    <col min="14" max="14" width="5.625" style="5" customWidth="1"/>
    <col min="15" max="15" width="15.625" style="5" hidden="1" customWidth="1"/>
    <col min="16" max="17" width="11.75" style="5" hidden="1" customWidth="1"/>
    <col min="18" max="23" width="8.75" style="5" customWidth="1"/>
    <col min="24" max="16384" width="9" style="5"/>
  </cols>
  <sheetData>
    <row r="1" spans="1:19" s="1" customFormat="1" ht="39" customHeight="1" x14ac:dyDescent="0.3">
      <c r="A1" s="471" t="s">
        <v>72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</row>
    <row r="2" spans="1:19" ht="22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>
        <v>45833</v>
      </c>
    </row>
    <row r="3" spans="1:19" ht="24" customHeight="1" x14ac:dyDescent="0.3">
      <c r="A3" s="418" t="s">
        <v>0</v>
      </c>
      <c r="B3" s="419"/>
      <c r="C3" s="2"/>
      <c r="D3" s="2"/>
      <c r="E3" s="2"/>
      <c r="F3" s="2"/>
      <c r="G3" s="6"/>
      <c r="H3" s="6"/>
      <c r="I3" s="6"/>
      <c r="J3" s="6"/>
      <c r="K3" s="6"/>
      <c r="L3" s="6"/>
      <c r="M3" s="7"/>
    </row>
    <row r="4" spans="1:19" ht="35.25" customHeight="1" thickBot="1" x14ac:dyDescent="0.35">
      <c r="A4" s="420" t="s">
        <v>1</v>
      </c>
      <c r="B4" s="421"/>
      <c r="C4" s="422" t="s">
        <v>94</v>
      </c>
      <c r="D4" s="423"/>
      <c r="E4" s="424"/>
      <c r="F4" s="420"/>
      <c r="G4" s="422" t="s">
        <v>95</v>
      </c>
      <c r="H4" s="420"/>
      <c r="I4" s="426" t="s">
        <v>5</v>
      </c>
      <c r="J4" s="424"/>
      <c r="K4" s="424"/>
      <c r="L4" s="424"/>
      <c r="M4" s="424"/>
    </row>
    <row r="5" spans="1:19" ht="24" customHeight="1" x14ac:dyDescent="0.3">
      <c r="A5" s="427" t="s">
        <v>8</v>
      </c>
      <c r="B5" s="428"/>
      <c r="C5" s="429"/>
      <c r="D5" s="430"/>
      <c r="E5" s="430"/>
      <c r="F5" s="431"/>
      <c r="G5" s="429"/>
      <c r="H5" s="431"/>
      <c r="I5" s="434" t="s">
        <v>113</v>
      </c>
      <c r="J5" s="435"/>
      <c r="K5" s="466"/>
      <c r="L5" s="466"/>
      <c r="M5" s="466"/>
    </row>
    <row r="6" spans="1:19" ht="24" customHeight="1" x14ac:dyDescent="0.3">
      <c r="A6" s="440" t="s">
        <v>9</v>
      </c>
      <c r="B6" s="441"/>
      <c r="C6" s="442">
        <f>SUM(F20:F29,F33:F53)</f>
        <v>170</v>
      </c>
      <c r="D6" s="443"/>
      <c r="E6" s="443"/>
      <c r="F6" s="444"/>
      <c r="G6" s="442"/>
      <c r="H6" s="444"/>
      <c r="I6" s="467"/>
      <c r="J6" s="468"/>
      <c r="K6" s="468"/>
      <c r="L6" s="468"/>
      <c r="M6" s="468"/>
    </row>
    <row r="7" spans="1:19" ht="24" customHeight="1" thickBot="1" x14ac:dyDescent="0.35">
      <c r="A7" s="445" t="s">
        <v>73</v>
      </c>
      <c r="B7" s="446"/>
      <c r="C7" s="392"/>
      <c r="D7" s="447"/>
      <c r="E7" s="447"/>
      <c r="F7" s="393"/>
      <c r="G7" s="392">
        <f>SUM(F45:F62)</f>
        <v>115</v>
      </c>
      <c r="H7" s="393"/>
      <c r="I7" s="469"/>
      <c r="J7" s="470"/>
      <c r="K7" s="470"/>
      <c r="L7" s="470"/>
      <c r="M7" s="470"/>
    </row>
    <row r="8" spans="1:19" ht="24" customHeight="1" x14ac:dyDescent="0.3">
      <c r="A8" s="407" t="s">
        <v>10</v>
      </c>
      <c r="B8" s="408"/>
      <c r="C8" s="409">
        <f>SUM(C5:F7)</f>
        <v>170</v>
      </c>
      <c r="D8" s="410"/>
      <c r="E8" s="410"/>
      <c r="F8" s="411"/>
      <c r="G8" s="409">
        <f>G7</f>
        <v>115</v>
      </c>
      <c r="H8" s="411"/>
      <c r="I8" s="412"/>
      <c r="J8" s="414"/>
      <c r="K8" s="414"/>
      <c r="L8" s="414"/>
      <c r="M8" s="414"/>
    </row>
    <row r="9" spans="1:19" ht="12" customHeight="1" x14ac:dyDescent="0.3">
      <c r="A9" s="8"/>
      <c r="B9" s="8"/>
      <c r="C9" s="8"/>
      <c r="D9" s="8"/>
      <c r="E9" s="8"/>
      <c r="F9" s="8"/>
      <c r="G9" s="125"/>
      <c r="H9" s="8"/>
      <c r="I9" s="8"/>
      <c r="J9" s="8"/>
      <c r="K9" s="8"/>
      <c r="L9" s="8"/>
      <c r="M9" s="8"/>
      <c r="R9" s="39"/>
    </row>
    <row r="10" spans="1:19" ht="29.25" customHeight="1" thickBot="1" x14ac:dyDescent="0.35">
      <c r="A10" s="415" t="s">
        <v>11</v>
      </c>
      <c r="B10" s="416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9" ht="36" customHeight="1" x14ac:dyDescent="0.3">
      <c r="A11" s="394" t="s">
        <v>12</v>
      </c>
      <c r="B11" s="397" t="s">
        <v>13</v>
      </c>
      <c r="C11" s="399" t="s">
        <v>14</v>
      </c>
      <c r="D11" s="399"/>
      <c r="E11" s="400"/>
      <c r="F11" s="401" t="s">
        <v>15</v>
      </c>
      <c r="G11" s="404" t="s">
        <v>18</v>
      </c>
      <c r="H11" s="405"/>
      <c r="I11" s="405"/>
      <c r="J11" s="405"/>
      <c r="K11" s="405"/>
      <c r="L11" s="406"/>
      <c r="M11" s="460" t="s">
        <v>19</v>
      </c>
    </row>
    <row r="12" spans="1:19" ht="22.5" customHeight="1" x14ac:dyDescent="0.3">
      <c r="A12" s="395"/>
      <c r="B12" s="398"/>
      <c r="C12" s="463" t="s">
        <v>96</v>
      </c>
      <c r="D12" s="464"/>
      <c r="E12" s="113" t="s">
        <v>97</v>
      </c>
      <c r="F12" s="402"/>
      <c r="G12" s="465" t="s">
        <v>114</v>
      </c>
      <c r="H12" s="382"/>
      <c r="I12" s="382"/>
      <c r="J12" s="382"/>
      <c r="K12" s="382"/>
      <c r="L12" s="383"/>
      <c r="M12" s="461"/>
    </row>
    <row r="13" spans="1:19" ht="35.25" customHeight="1" thickBot="1" x14ac:dyDescent="0.35">
      <c r="A13" s="396"/>
      <c r="B13" s="385"/>
      <c r="C13" s="107" t="s">
        <v>98</v>
      </c>
      <c r="D13" s="104" t="s">
        <v>99</v>
      </c>
      <c r="E13" s="104" t="s">
        <v>98</v>
      </c>
      <c r="F13" s="403"/>
      <c r="G13" s="9" t="s">
        <v>23</v>
      </c>
      <c r="H13" s="10" t="s">
        <v>24</v>
      </c>
      <c r="I13" s="10" t="s">
        <v>25</v>
      </c>
      <c r="J13" s="10" t="s">
        <v>111</v>
      </c>
      <c r="K13" s="11" t="s">
        <v>26</v>
      </c>
      <c r="L13" s="12" t="s">
        <v>27</v>
      </c>
      <c r="M13" s="462"/>
    </row>
    <row r="14" spans="1:19" ht="16.5" customHeight="1" x14ac:dyDescent="0.3">
      <c r="A14" s="351" t="s">
        <v>44</v>
      </c>
      <c r="B14" s="13" t="s">
        <v>58</v>
      </c>
      <c r="C14" s="108">
        <v>13</v>
      </c>
      <c r="D14" s="15">
        <v>3</v>
      </c>
      <c r="E14" s="14"/>
      <c r="F14" s="138">
        <f>C14+D14+E14</f>
        <v>16</v>
      </c>
      <c r="G14" s="117">
        <v>45600</v>
      </c>
      <c r="H14" s="19">
        <v>45601</v>
      </c>
      <c r="I14" s="37">
        <v>45608</v>
      </c>
      <c r="J14" s="37"/>
      <c r="K14" s="37">
        <v>45643</v>
      </c>
      <c r="L14" s="21">
        <f>(K15-G14+1)/7</f>
        <v>11.714285714285714</v>
      </c>
      <c r="M14" s="473" t="s">
        <v>120</v>
      </c>
    </row>
    <row r="15" spans="1:19" ht="16.5" customHeight="1" x14ac:dyDescent="0.3">
      <c r="A15" s="352"/>
      <c r="B15" s="13"/>
      <c r="C15" s="108"/>
      <c r="D15" s="15"/>
      <c r="E15" s="14"/>
      <c r="F15" s="138"/>
      <c r="G15" s="101"/>
      <c r="H15" s="19">
        <v>45603</v>
      </c>
      <c r="I15" s="19">
        <v>45643</v>
      </c>
      <c r="J15" s="19"/>
      <c r="K15" s="120">
        <v>45681</v>
      </c>
      <c r="L15" s="24"/>
      <c r="M15" s="474"/>
      <c r="S15" s="26"/>
    </row>
    <row r="16" spans="1:19" ht="16.5" customHeight="1" x14ac:dyDescent="0.3">
      <c r="A16" s="352"/>
      <c r="B16" s="27"/>
      <c r="C16" s="109"/>
      <c r="D16" s="29"/>
      <c r="E16" s="28"/>
      <c r="F16" s="139"/>
      <c r="G16" s="102"/>
      <c r="H16" s="33">
        <f t="shared" ref="H16" si="0">(H15-H14+1)/7</f>
        <v>0.42857142857142855</v>
      </c>
      <c r="I16" s="33">
        <f>(I15-I14+1)/7</f>
        <v>5.1428571428571432</v>
      </c>
      <c r="J16" s="33"/>
      <c r="K16" s="33">
        <f>(K15-K14+1)/7</f>
        <v>5.5714285714285712</v>
      </c>
      <c r="L16" s="35"/>
      <c r="M16" s="475"/>
    </row>
    <row r="17" spans="1:19" ht="16.5" customHeight="1" x14ac:dyDescent="0.3">
      <c r="A17" s="352"/>
      <c r="B17" s="41" t="s">
        <v>60</v>
      </c>
      <c r="C17" s="110">
        <v>7</v>
      </c>
      <c r="D17" s="43">
        <v>9</v>
      </c>
      <c r="E17" s="42"/>
      <c r="F17" s="138">
        <f t="shared" ref="F17" si="1">C17+D17+E17</f>
        <v>16</v>
      </c>
      <c r="G17" s="117">
        <v>45635</v>
      </c>
      <c r="H17" s="19">
        <v>45636</v>
      </c>
      <c r="I17" s="37">
        <v>45642</v>
      </c>
      <c r="J17" s="37"/>
      <c r="K17" s="37">
        <v>45691</v>
      </c>
      <c r="L17" s="21">
        <f>(K18-G17+1)/7</f>
        <v>13.285714285714286</v>
      </c>
      <c r="M17" s="476" t="s">
        <v>115</v>
      </c>
      <c r="O17" s="26"/>
      <c r="R17" s="39"/>
      <c r="S17" s="39"/>
    </row>
    <row r="18" spans="1:19" ht="16.5" customHeight="1" x14ac:dyDescent="0.3">
      <c r="A18" s="352"/>
      <c r="B18" s="13"/>
      <c r="C18" s="108"/>
      <c r="D18" s="15"/>
      <c r="E18" s="14"/>
      <c r="F18" s="138"/>
      <c r="G18" s="118"/>
      <c r="H18" s="19">
        <v>45638</v>
      </c>
      <c r="I18" s="19">
        <v>45681</v>
      </c>
      <c r="J18" s="19"/>
      <c r="K18" s="120">
        <v>45727</v>
      </c>
      <c r="L18" s="24"/>
      <c r="M18" s="474"/>
      <c r="R18" s="39"/>
    </row>
    <row r="19" spans="1:19" ht="16.5" customHeight="1" x14ac:dyDescent="0.3">
      <c r="A19" s="352"/>
      <c r="B19" s="27"/>
      <c r="C19" s="109"/>
      <c r="D19" s="29"/>
      <c r="E19" s="28"/>
      <c r="F19" s="139"/>
      <c r="G19" s="119"/>
      <c r="H19" s="33">
        <f>(H18-H17+1)/7</f>
        <v>0.42857142857142855</v>
      </c>
      <c r="I19" s="33">
        <f>(I18-I17+1)/7</f>
        <v>5.7142857142857144</v>
      </c>
      <c r="J19" s="33"/>
      <c r="K19" s="33">
        <f>(K18-K17+1)/7</f>
        <v>5.2857142857142856</v>
      </c>
      <c r="L19" s="35"/>
      <c r="M19" s="475"/>
    </row>
    <row r="20" spans="1:19" ht="16.5" customHeight="1" x14ac:dyDescent="0.3">
      <c r="A20" s="352"/>
      <c r="B20" s="13" t="s">
        <v>62</v>
      </c>
      <c r="C20" s="108"/>
      <c r="D20" s="15">
        <v>12</v>
      </c>
      <c r="E20" s="14"/>
      <c r="F20" s="138">
        <f t="shared" ref="F20" si="2">C20+D20+E20</f>
        <v>12</v>
      </c>
      <c r="G20" s="106">
        <v>45677</v>
      </c>
      <c r="H20" s="19">
        <v>45678</v>
      </c>
      <c r="I20" s="19">
        <v>45691</v>
      </c>
      <c r="J20" s="19"/>
      <c r="K20" s="19">
        <v>45728</v>
      </c>
      <c r="L20" s="24">
        <f>(K21-G20+1)/7</f>
        <v>10.142857142857142</v>
      </c>
      <c r="M20" s="477" t="s">
        <v>116</v>
      </c>
      <c r="O20" s="26"/>
      <c r="R20" s="39"/>
    </row>
    <row r="21" spans="1:19" ht="16.5" customHeight="1" x14ac:dyDescent="0.3">
      <c r="A21" s="352"/>
      <c r="B21" s="13"/>
      <c r="C21" s="108"/>
      <c r="D21" s="15"/>
      <c r="E21" s="14"/>
      <c r="F21" s="138"/>
      <c r="G21" s="118"/>
      <c r="H21" s="19">
        <v>45680</v>
      </c>
      <c r="I21" s="19">
        <v>45720</v>
      </c>
      <c r="J21" s="19"/>
      <c r="K21" s="120">
        <v>45747</v>
      </c>
      <c r="L21" s="24"/>
      <c r="M21" s="474"/>
    </row>
    <row r="22" spans="1:19" ht="16.5" customHeight="1" x14ac:dyDescent="0.3">
      <c r="A22" s="352"/>
      <c r="B22" s="27"/>
      <c r="C22" s="109"/>
      <c r="D22" s="29"/>
      <c r="E22" s="28"/>
      <c r="F22" s="139"/>
      <c r="G22" s="119"/>
      <c r="H22" s="33">
        <f>(H21-H20+1)/7</f>
        <v>0.42857142857142855</v>
      </c>
      <c r="I22" s="33">
        <f>(I21-I20+1)/7</f>
        <v>4.2857142857142856</v>
      </c>
      <c r="J22" s="33"/>
      <c r="K22" s="33">
        <f>(K21-K20+1)/7</f>
        <v>2.8571428571428572</v>
      </c>
      <c r="L22" s="35"/>
      <c r="M22" s="475"/>
    </row>
    <row r="23" spans="1:19" ht="16.5" customHeight="1" x14ac:dyDescent="0.3">
      <c r="A23" s="352"/>
      <c r="B23" s="41" t="s">
        <v>64</v>
      </c>
      <c r="C23" s="110"/>
      <c r="D23" s="43">
        <v>9</v>
      </c>
      <c r="E23" s="42"/>
      <c r="F23" s="138">
        <f t="shared" ref="F23" si="3">C23+D23+E23</f>
        <v>9</v>
      </c>
      <c r="G23" s="117">
        <v>45712</v>
      </c>
      <c r="H23" s="37">
        <v>45713</v>
      </c>
      <c r="I23" s="37">
        <v>45721</v>
      </c>
      <c r="J23" s="37"/>
      <c r="K23" s="37">
        <v>45749</v>
      </c>
      <c r="L23" s="21">
        <f>(K24-G23+1)/7</f>
        <v>9.2857142857142865</v>
      </c>
      <c r="M23" s="473" t="s">
        <v>117</v>
      </c>
      <c r="O23" s="26"/>
    </row>
    <row r="24" spans="1:19" ht="16.5" customHeight="1" x14ac:dyDescent="0.3">
      <c r="A24" s="352"/>
      <c r="B24" s="13"/>
      <c r="C24" s="108"/>
      <c r="D24" s="15"/>
      <c r="E24" s="14"/>
      <c r="F24" s="138"/>
      <c r="G24" s="118"/>
      <c r="H24" s="19">
        <v>45715</v>
      </c>
      <c r="I24" s="19">
        <v>45754</v>
      </c>
      <c r="J24" s="19"/>
      <c r="K24" s="120">
        <v>45776</v>
      </c>
      <c r="L24" s="24"/>
      <c r="M24" s="474"/>
    </row>
    <row r="25" spans="1:19" ht="16.5" customHeight="1" x14ac:dyDescent="0.3">
      <c r="A25" s="352"/>
      <c r="B25" s="27"/>
      <c r="C25" s="109"/>
      <c r="D25" s="29"/>
      <c r="E25" s="28"/>
      <c r="F25" s="139"/>
      <c r="G25" s="119"/>
      <c r="H25" s="33">
        <f>(H24-H23+1)/7</f>
        <v>0.42857142857142855</v>
      </c>
      <c r="I25" s="33">
        <f>(I24-I23+1)/7</f>
        <v>4.8571428571428568</v>
      </c>
      <c r="J25" s="33"/>
      <c r="K25" s="33">
        <f>(K24-K23+1)/7</f>
        <v>4</v>
      </c>
      <c r="L25" s="35"/>
      <c r="M25" s="475"/>
    </row>
    <row r="26" spans="1:19" ht="16.5" customHeight="1" x14ac:dyDescent="0.3">
      <c r="A26" s="352"/>
      <c r="B26" s="41" t="s">
        <v>66</v>
      </c>
      <c r="C26" s="110">
        <v>4</v>
      </c>
      <c r="D26" s="43"/>
      <c r="E26" s="42"/>
      <c r="F26" s="138">
        <f t="shared" ref="F26" si="4">C26+D26+E26</f>
        <v>4</v>
      </c>
      <c r="G26" s="117">
        <v>45726</v>
      </c>
      <c r="H26" s="37">
        <v>45727</v>
      </c>
      <c r="I26" s="37">
        <v>45733</v>
      </c>
      <c r="J26" s="37">
        <v>45768</v>
      </c>
      <c r="K26" s="37">
        <v>45784</v>
      </c>
      <c r="L26" s="21">
        <f>(K27-G26+1)/7</f>
        <v>11.142857142857142</v>
      </c>
      <c r="M26" s="473" t="s">
        <v>118</v>
      </c>
    </row>
    <row r="27" spans="1:19" ht="16.5" customHeight="1" x14ac:dyDescent="0.3">
      <c r="A27" s="352"/>
      <c r="B27" s="13"/>
      <c r="C27" s="108"/>
      <c r="D27" s="15"/>
      <c r="E27" s="14"/>
      <c r="F27" s="138"/>
      <c r="G27" s="101"/>
      <c r="H27" s="19">
        <v>45729</v>
      </c>
      <c r="I27" s="19">
        <v>45763</v>
      </c>
      <c r="J27" s="19">
        <v>45781</v>
      </c>
      <c r="K27" s="120">
        <v>45803</v>
      </c>
      <c r="L27" s="24"/>
      <c r="M27" s="474"/>
    </row>
    <row r="28" spans="1:19" ht="16.5" customHeight="1" x14ac:dyDescent="0.3">
      <c r="A28" s="352"/>
      <c r="B28" s="27"/>
      <c r="C28" s="109"/>
      <c r="D28" s="29"/>
      <c r="E28" s="28"/>
      <c r="F28" s="139"/>
      <c r="G28" s="102"/>
      <c r="H28" s="33">
        <f>(H27-H26+1)/7</f>
        <v>0.42857142857142855</v>
      </c>
      <c r="I28" s="33">
        <f>(I27-I26+1)/7</f>
        <v>4.4285714285714288</v>
      </c>
      <c r="J28" s="33">
        <f t="shared" ref="J28" si="5">(J27-J26+1)/7</f>
        <v>2</v>
      </c>
      <c r="K28" s="33">
        <f>(K27-K26+1)/7</f>
        <v>2.8571428571428572</v>
      </c>
      <c r="L28" s="35"/>
      <c r="M28" s="475"/>
    </row>
    <row r="29" spans="1:19" ht="16.5" customHeight="1" x14ac:dyDescent="0.3">
      <c r="A29" s="352"/>
      <c r="B29" s="41" t="s">
        <v>67</v>
      </c>
      <c r="C29" s="110"/>
      <c r="D29" s="43">
        <v>16</v>
      </c>
      <c r="E29" s="42"/>
      <c r="F29" s="138">
        <f t="shared" ref="F29" si="6">C29+D29+E29</f>
        <v>16</v>
      </c>
      <c r="G29" s="117">
        <v>45747</v>
      </c>
      <c r="H29" s="37">
        <v>45748</v>
      </c>
      <c r="I29" s="37">
        <v>45756</v>
      </c>
      <c r="J29" s="37"/>
      <c r="K29" s="37">
        <v>45803</v>
      </c>
      <c r="L29" s="21">
        <f>(K30-G29+1)/7</f>
        <v>12.428571428571429</v>
      </c>
      <c r="M29" s="473" t="s">
        <v>119</v>
      </c>
      <c r="O29" s="26"/>
    </row>
    <row r="30" spans="1:19" ht="16.5" customHeight="1" x14ac:dyDescent="0.3">
      <c r="A30" s="352"/>
      <c r="B30" s="13"/>
      <c r="C30" s="108"/>
      <c r="D30" s="15"/>
      <c r="E30" s="14"/>
      <c r="F30" s="138"/>
      <c r="G30" s="101"/>
      <c r="H30" s="19">
        <v>45750</v>
      </c>
      <c r="I30" s="19">
        <v>45804</v>
      </c>
      <c r="J30" s="84"/>
      <c r="K30" s="120">
        <v>45833</v>
      </c>
      <c r="L30" s="24"/>
      <c r="M30" s="474"/>
    </row>
    <row r="31" spans="1:19" ht="16.5" customHeight="1" thickBot="1" x14ac:dyDescent="0.35">
      <c r="A31" s="353"/>
      <c r="B31" s="47"/>
      <c r="C31" s="111"/>
      <c r="D31" s="49"/>
      <c r="E31" s="48"/>
      <c r="F31" s="105"/>
      <c r="G31" s="103"/>
      <c r="H31" s="53">
        <f>(H30-H29+1)/7</f>
        <v>0.42857142857142855</v>
      </c>
      <c r="I31" s="53">
        <f>(I30-I29+1)/7</f>
        <v>7</v>
      </c>
      <c r="J31" s="97"/>
      <c r="K31" s="53">
        <f>(K30-K29+1)/7</f>
        <v>4.4285714285714288</v>
      </c>
      <c r="L31" s="55"/>
      <c r="M31" s="478"/>
      <c r="Q31" s="39"/>
    </row>
    <row r="32" spans="1:19" ht="24" customHeight="1" thickBot="1" x14ac:dyDescent="0.35">
      <c r="A32" s="343" t="s">
        <v>10</v>
      </c>
      <c r="B32" s="344"/>
      <c r="C32" s="112">
        <f>SUM(C14:C31)</f>
        <v>24</v>
      </c>
      <c r="D32" s="58">
        <f>SUM(D14:D31)</f>
        <v>49</v>
      </c>
      <c r="E32" s="57">
        <f>SUM(E14:E31)</f>
        <v>0</v>
      </c>
      <c r="F32" s="140">
        <f>SUM(C32:E32)</f>
        <v>73</v>
      </c>
      <c r="G32" s="480" t="s">
        <v>42</v>
      </c>
      <c r="H32" s="481"/>
      <c r="I32" s="481"/>
      <c r="J32" s="481"/>
      <c r="K32" s="482"/>
      <c r="L32" s="61">
        <f>AVERAGE(L14:L31)</f>
        <v>11.333333333333334</v>
      </c>
      <c r="M32" s="62" t="s">
        <v>41</v>
      </c>
      <c r="O32" s="350" t="s">
        <v>43</v>
      </c>
      <c r="P32" s="350"/>
    </row>
    <row r="33" spans="1:20" ht="15" customHeight="1" x14ac:dyDescent="0.3">
      <c r="A33" s="351" t="s">
        <v>74</v>
      </c>
      <c r="B33" s="143" t="s">
        <v>75</v>
      </c>
      <c r="C33" s="144">
        <v>14</v>
      </c>
      <c r="D33" s="145"/>
      <c r="E33" s="146"/>
      <c r="F33" s="141">
        <f>C33+D33+E33</f>
        <v>14</v>
      </c>
      <c r="G33" s="67">
        <v>45796</v>
      </c>
      <c r="H33" s="69">
        <v>45797</v>
      </c>
      <c r="I33" s="69">
        <v>45803</v>
      </c>
      <c r="J33" s="69"/>
      <c r="K33" s="69">
        <v>45845</v>
      </c>
      <c r="L33" s="147">
        <f>(K34-G33+1)/7</f>
        <v>12.142857142857142</v>
      </c>
      <c r="M33" s="499" t="s">
        <v>76</v>
      </c>
      <c r="N33" s="71"/>
      <c r="O33" s="5" t="s">
        <v>47</v>
      </c>
      <c r="P33" s="72" t="e">
        <f>AVERAGE(H35,H38,H41,H44,H47,H62,#REF!,#REF!,#REF!,#REF!)</f>
        <v>#REF!</v>
      </c>
      <c r="Q33" s="5">
        <v>1</v>
      </c>
      <c r="R33" s="39"/>
    </row>
    <row r="34" spans="1:20" ht="15" customHeight="1" x14ac:dyDescent="0.3">
      <c r="A34" s="352"/>
      <c r="B34" s="133"/>
      <c r="C34" s="127"/>
      <c r="D34" s="126"/>
      <c r="E34" s="128"/>
      <c r="F34" s="141"/>
      <c r="G34" s="22"/>
      <c r="H34" s="20">
        <v>45799</v>
      </c>
      <c r="I34" s="20">
        <v>45842</v>
      </c>
      <c r="J34" s="20"/>
      <c r="K34" s="23">
        <v>45880</v>
      </c>
      <c r="L34" s="136"/>
      <c r="M34" s="493"/>
      <c r="N34" s="71"/>
      <c r="O34" s="5" t="s">
        <v>48</v>
      </c>
      <c r="P34" s="72" t="e">
        <f>AVERAGE(I35,I38,I41,I44,I47,I62,#REF!,#REF!,#REF!,#REF!)</f>
        <v>#REF!</v>
      </c>
      <c r="Q34" s="5">
        <v>6</v>
      </c>
    </row>
    <row r="35" spans="1:20" ht="15" customHeight="1" x14ac:dyDescent="0.3">
      <c r="A35" s="352"/>
      <c r="B35" s="148"/>
      <c r="C35" s="129"/>
      <c r="D35" s="130"/>
      <c r="E35" s="131"/>
      <c r="F35" s="142"/>
      <c r="G35" s="32"/>
      <c r="H35" s="34">
        <f>(H34-H33+1)/7</f>
        <v>0.42857142857142855</v>
      </c>
      <c r="I35" s="34">
        <f>(I34-I33+1)/7</f>
        <v>5.7142857142857144</v>
      </c>
      <c r="J35" s="34"/>
      <c r="K35" s="34">
        <f>(K34-K33+1)/7</f>
        <v>5.1428571428571432</v>
      </c>
      <c r="L35" s="137"/>
      <c r="M35" s="494"/>
      <c r="N35" s="71"/>
      <c r="O35" s="5" t="s">
        <v>49</v>
      </c>
      <c r="P35" s="72" t="e">
        <f>AVERAGE(K35,K38,K41,K44,K47,K62,#REF!,#REF!,#REF!,#REF!)</f>
        <v>#REF!</v>
      </c>
      <c r="Q35" s="5">
        <v>5</v>
      </c>
      <c r="R35" s="39"/>
    </row>
    <row r="36" spans="1:20" ht="15" customHeight="1" x14ac:dyDescent="0.3">
      <c r="A36" s="352"/>
      <c r="B36" s="133" t="s">
        <v>77</v>
      </c>
      <c r="C36" s="127">
        <v>16</v>
      </c>
      <c r="D36" s="126"/>
      <c r="E36" s="128"/>
      <c r="F36" s="141">
        <f t="shared" ref="F36" si="7">C36+D36+E36</f>
        <v>16</v>
      </c>
      <c r="G36" s="46">
        <v>45831</v>
      </c>
      <c r="H36" s="20">
        <v>45832</v>
      </c>
      <c r="I36" s="38">
        <v>45841</v>
      </c>
      <c r="J36" s="38">
        <v>45873</v>
      </c>
      <c r="K36" s="38">
        <v>45880</v>
      </c>
      <c r="L36" s="136">
        <f>(K37-G36+1)/7</f>
        <v>12.285714285714286</v>
      </c>
      <c r="M36" s="492" t="s">
        <v>78</v>
      </c>
      <c r="P36" s="76"/>
      <c r="Q36" s="39"/>
    </row>
    <row r="37" spans="1:20" ht="15" customHeight="1" x14ac:dyDescent="0.3">
      <c r="A37" s="352"/>
      <c r="B37" s="133"/>
      <c r="C37" s="127"/>
      <c r="D37" s="126"/>
      <c r="E37" s="128"/>
      <c r="F37" s="141"/>
      <c r="G37" s="22"/>
      <c r="H37" s="20">
        <v>45834</v>
      </c>
      <c r="I37" s="20">
        <v>45871</v>
      </c>
      <c r="J37" s="20">
        <v>45879</v>
      </c>
      <c r="K37" s="23">
        <v>45916</v>
      </c>
      <c r="L37" s="136"/>
      <c r="M37" s="493"/>
    </row>
    <row r="38" spans="1:20" ht="15" customHeight="1" x14ac:dyDescent="0.3">
      <c r="A38" s="352"/>
      <c r="B38" s="148"/>
      <c r="C38" s="129"/>
      <c r="D38" s="130"/>
      <c r="E38" s="131"/>
      <c r="F38" s="142"/>
      <c r="G38" s="32"/>
      <c r="H38" s="34">
        <f t="shared" ref="H38:K38" si="8">(H37-H36+1)/7</f>
        <v>0.42857142857142855</v>
      </c>
      <c r="I38" s="34">
        <f t="shared" si="8"/>
        <v>4.4285714285714288</v>
      </c>
      <c r="J38" s="189">
        <f t="shared" si="8"/>
        <v>1</v>
      </c>
      <c r="K38" s="34">
        <f t="shared" si="8"/>
        <v>5.2857142857142856</v>
      </c>
      <c r="L38" s="137"/>
      <c r="M38" s="494"/>
      <c r="P38" s="39"/>
      <c r="R38" s="39"/>
    </row>
    <row r="39" spans="1:20" ht="15" customHeight="1" x14ac:dyDescent="0.3">
      <c r="A39" s="352"/>
      <c r="B39" s="133" t="s">
        <v>79</v>
      </c>
      <c r="C39" s="127">
        <v>16</v>
      </c>
      <c r="D39" s="126"/>
      <c r="E39" s="128"/>
      <c r="F39" s="141">
        <f t="shared" ref="F39" si="9">C39+D39+E39</f>
        <v>16</v>
      </c>
      <c r="G39" s="18">
        <v>45866</v>
      </c>
      <c r="H39" s="20">
        <v>45867</v>
      </c>
      <c r="I39" s="38">
        <v>45873</v>
      </c>
      <c r="J39" s="38">
        <v>45908</v>
      </c>
      <c r="K39" s="38">
        <v>45915</v>
      </c>
      <c r="L39" s="135">
        <f>(K40-G39+1)/7</f>
        <v>12.571428571428571</v>
      </c>
      <c r="M39" s="492" t="s">
        <v>80</v>
      </c>
      <c r="O39" s="39"/>
      <c r="T39" s="39"/>
    </row>
    <row r="40" spans="1:20" ht="15" customHeight="1" x14ac:dyDescent="0.3">
      <c r="A40" s="352"/>
      <c r="B40" s="133"/>
      <c r="C40" s="127"/>
      <c r="D40" s="126"/>
      <c r="E40" s="128"/>
      <c r="F40" s="141"/>
      <c r="G40" s="22"/>
      <c r="H40" s="20">
        <v>45869</v>
      </c>
      <c r="I40" s="20">
        <v>45905</v>
      </c>
      <c r="J40" s="20">
        <v>45914</v>
      </c>
      <c r="K40" s="23">
        <v>45953</v>
      </c>
      <c r="L40" s="136"/>
      <c r="M40" s="493"/>
      <c r="O40" s="77"/>
      <c r="Q40" s="77"/>
      <c r="R40" s="77"/>
    </row>
    <row r="41" spans="1:20" ht="15" customHeight="1" x14ac:dyDescent="0.3">
      <c r="A41" s="352"/>
      <c r="B41" s="148"/>
      <c r="C41" s="129"/>
      <c r="D41" s="130"/>
      <c r="E41" s="131"/>
      <c r="F41" s="142"/>
      <c r="G41" s="32"/>
      <c r="H41" s="34">
        <f t="shared" ref="H41:K41" si="10">(H40-H39+1)/7</f>
        <v>0.42857142857142855</v>
      </c>
      <c r="I41" s="34">
        <f t="shared" si="10"/>
        <v>4.7142857142857144</v>
      </c>
      <c r="J41" s="189">
        <f t="shared" si="10"/>
        <v>1</v>
      </c>
      <c r="K41" s="34">
        <f t="shared" si="10"/>
        <v>5.5714285714285712</v>
      </c>
      <c r="L41" s="137"/>
      <c r="M41" s="494"/>
      <c r="O41" s="77">
        <v>11.1</v>
      </c>
      <c r="P41" s="77">
        <v>15.1</v>
      </c>
      <c r="Q41" s="77">
        <f t="shared" ref="Q41:Q46" si="11">O41-P41</f>
        <v>-4</v>
      </c>
      <c r="R41" s="77"/>
    </row>
    <row r="42" spans="1:20" ht="15" customHeight="1" x14ac:dyDescent="0.3">
      <c r="A42" s="352"/>
      <c r="B42" s="133" t="s">
        <v>81</v>
      </c>
      <c r="C42" s="127">
        <v>16</v>
      </c>
      <c r="D42" s="126"/>
      <c r="E42" s="128"/>
      <c r="F42" s="141">
        <f t="shared" ref="F42" si="12">C42+D42+E42</f>
        <v>16</v>
      </c>
      <c r="G42" s="18">
        <v>45901</v>
      </c>
      <c r="H42" s="20">
        <v>45902</v>
      </c>
      <c r="I42" s="38">
        <v>45908</v>
      </c>
      <c r="J42" s="38"/>
      <c r="K42" s="38">
        <v>45950</v>
      </c>
      <c r="L42" s="135">
        <f>(K43-G42+1)/7</f>
        <v>11.714285714285714</v>
      </c>
      <c r="M42" s="492" t="s">
        <v>82</v>
      </c>
      <c r="O42" s="77">
        <v>10.7</v>
      </c>
      <c r="P42" s="77">
        <v>15.1</v>
      </c>
      <c r="Q42" s="77">
        <f t="shared" si="11"/>
        <v>-4.4000000000000004</v>
      </c>
      <c r="R42" s="77"/>
    </row>
    <row r="43" spans="1:20" ht="15" customHeight="1" x14ac:dyDescent="0.3">
      <c r="A43" s="352"/>
      <c r="B43" s="133"/>
      <c r="C43" s="127"/>
      <c r="D43" s="126"/>
      <c r="E43" s="128"/>
      <c r="F43" s="141"/>
      <c r="G43" s="22"/>
      <c r="H43" s="20">
        <v>45904</v>
      </c>
      <c r="I43" s="20">
        <v>45945</v>
      </c>
      <c r="J43" s="20"/>
      <c r="K43" s="23">
        <v>45982</v>
      </c>
      <c r="L43" s="136"/>
      <c r="M43" s="493"/>
      <c r="O43" s="77">
        <v>10.3</v>
      </c>
      <c r="P43" s="77">
        <v>14.7</v>
      </c>
      <c r="Q43" s="77">
        <f t="shared" si="11"/>
        <v>-4.3999999999999986</v>
      </c>
      <c r="R43" s="77"/>
    </row>
    <row r="44" spans="1:20" ht="15" customHeight="1" x14ac:dyDescent="0.3">
      <c r="A44" s="352"/>
      <c r="B44" s="148"/>
      <c r="C44" s="129"/>
      <c r="D44" s="130"/>
      <c r="E44" s="131"/>
      <c r="F44" s="142"/>
      <c r="G44" s="32"/>
      <c r="H44" s="34">
        <f t="shared" ref="H44:K44" si="13">(H43-H42+1)/7</f>
        <v>0.42857142857142855</v>
      </c>
      <c r="I44" s="34">
        <f t="shared" si="13"/>
        <v>5.4285714285714288</v>
      </c>
      <c r="J44" s="34"/>
      <c r="K44" s="34">
        <f t="shared" si="13"/>
        <v>4.7142857142857144</v>
      </c>
      <c r="L44" s="137"/>
      <c r="M44" s="494"/>
      <c r="O44" s="77">
        <v>7.7</v>
      </c>
      <c r="P44" s="77">
        <v>10.7</v>
      </c>
      <c r="Q44" s="77">
        <f t="shared" si="11"/>
        <v>-2.9999999999999991</v>
      </c>
      <c r="R44" s="77"/>
    </row>
    <row r="45" spans="1:20" ht="15" customHeight="1" x14ac:dyDescent="0.3">
      <c r="A45" s="352"/>
      <c r="B45" s="163" t="s">
        <v>83</v>
      </c>
      <c r="C45" s="155">
        <v>16</v>
      </c>
      <c r="D45" s="156"/>
      <c r="E45" s="183">
        <v>8</v>
      </c>
      <c r="F45" s="158">
        <f t="shared" ref="F45" si="14">C45+D45+E45</f>
        <v>24</v>
      </c>
      <c r="G45" s="187">
        <v>45929</v>
      </c>
      <c r="H45" s="160">
        <v>45930</v>
      </c>
      <c r="I45" s="161">
        <v>45943</v>
      </c>
      <c r="J45" s="161"/>
      <c r="K45" s="161">
        <v>45985</v>
      </c>
      <c r="L45" s="162">
        <f>(K46-G45+1)/7</f>
        <v>15.714285714285714</v>
      </c>
      <c r="M45" s="495" t="s">
        <v>100</v>
      </c>
      <c r="O45" s="77">
        <v>9.6999999999999993</v>
      </c>
      <c r="P45" s="77">
        <v>9.6999999999999993</v>
      </c>
      <c r="Q45" s="77">
        <f t="shared" si="11"/>
        <v>0</v>
      </c>
      <c r="R45" s="77"/>
    </row>
    <row r="46" spans="1:20" ht="15" customHeight="1" x14ac:dyDescent="0.3">
      <c r="A46" s="352"/>
      <c r="B46" s="163"/>
      <c r="C46" s="155"/>
      <c r="D46" s="156"/>
      <c r="E46" s="157"/>
      <c r="F46" s="158"/>
      <c r="G46" s="164"/>
      <c r="H46" s="160">
        <v>45932</v>
      </c>
      <c r="I46" s="160">
        <v>45980</v>
      </c>
      <c r="J46" s="160"/>
      <c r="K46" s="165">
        <v>46038</v>
      </c>
      <c r="L46" s="166"/>
      <c r="M46" s="496"/>
      <c r="O46" s="77">
        <v>9.6</v>
      </c>
      <c r="P46" s="77">
        <v>9.6</v>
      </c>
      <c r="Q46" s="77">
        <f t="shared" si="11"/>
        <v>0</v>
      </c>
      <c r="R46" s="77"/>
      <c r="S46" s="72"/>
    </row>
    <row r="47" spans="1:20" ht="15" customHeight="1" x14ac:dyDescent="0.3">
      <c r="A47" s="352"/>
      <c r="B47" s="167"/>
      <c r="C47" s="168"/>
      <c r="D47" s="169"/>
      <c r="E47" s="170"/>
      <c r="F47" s="171"/>
      <c r="G47" s="172"/>
      <c r="H47" s="173">
        <f t="shared" ref="H47:K47" si="15">(H46-H45+1)/7</f>
        <v>0.42857142857142855</v>
      </c>
      <c r="I47" s="173">
        <f t="shared" si="15"/>
        <v>5.4285714285714288</v>
      </c>
      <c r="J47" s="173"/>
      <c r="K47" s="173">
        <f t="shared" si="15"/>
        <v>7.7142857142857144</v>
      </c>
      <c r="L47" s="174"/>
      <c r="M47" s="497"/>
      <c r="O47" s="77"/>
      <c r="P47" s="77"/>
      <c r="Q47" s="77"/>
      <c r="R47" s="77"/>
    </row>
    <row r="48" spans="1:20" ht="15" customHeight="1" x14ac:dyDescent="0.3">
      <c r="A48" s="352"/>
      <c r="B48" s="175" t="s">
        <v>84</v>
      </c>
      <c r="C48" s="176">
        <v>16</v>
      </c>
      <c r="D48" s="177"/>
      <c r="E48" s="178">
        <v>6</v>
      </c>
      <c r="F48" s="158">
        <f>C48+D48+E48</f>
        <v>22</v>
      </c>
      <c r="G48" s="159">
        <v>45971</v>
      </c>
      <c r="H48" s="161">
        <v>45972</v>
      </c>
      <c r="I48" s="161">
        <v>45978</v>
      </c>
      <c r="J48" s="161">
        <v>46020</v>
      </c>
      <c r="K48" s="161">
        <v>46037</v>
      </c>
      <c r="L48" s="162">
        <f>(K49-G48+1)/7</f>
        <v>15.857142857142858</v>
      </c>
      <c r="M48" s="495" t="s">
        <v>101</v>
      </c>
      <c r="O48" s="77"/>
      <c r="P48" s="77"/>
      <c r="Q48" s="77"/>
      <c r="R48" s="77"/>
    </row>
    <row r="49" spans="1:18" ht="15" customHeight="1" x14ac:dyDescent="0.3">
      <c r="A49" s="352"/>
      <c r="B49" s="179"/>
      <c r="C49" s="155"/>
      <c r="D49" s="156"/>
      <c r="E49" s="180"/>
      <c r="F49" s="158"/>
      <c r="G49" s="164"/>
      <c r="H49" s="160">
        <v>45974</v>
      </c>
      <c r="I49" s="160">
        <v>46017</v>
      </c>
      <c r="J49" s="160">
        <v>46033</v>
      </c>
      <c r="K49" s="165">
        <v>46081</v>
      </c>
      <c r="L49" s="166"/>
      <c r="M49" s="496"/>
      <c r="O49" s="77"/>
      <c r="P49" s="77"/>
      <c r="Q49" s="77"/>
      <c r="R49" s="77"/>
    </row>
    <row r="50" spans="1:18" ht="15" customHeight="1" x14ac:dyDescent="0.3">
      <c r="A50" s="352"/>
      <c r="B50" s="181"/>
      <c r="C50" s="168"/>
      <c r="D50" s="169"/>
      <c r="E50" s="182"/>
      <c r="F50" s="171"/>
      <c r="G50" s="172"/>
      <c r="H50" s="173">
        <f t="shared" ref="H50:K50" si="16">(H49-H48+1)/7</f>
        <v>0.42857142857142855</v>
      </c>
      <c r="I50" s="173">
        <f t="shared" si="16"/>
        <v>5.7142857142857144</v>
      </c>
      <c r="J50" s="188">
        <f t="shared" si="16"/>
        <v>2</v>
      </c>
      <c r="K50" s="173">
        <f t="shared" si="16"/>
        <v>6.4285714285714288</v>
      </c>
      <c r="L50" s="174"/>
      <c r="M50" s="497"/>
      <c r="O50" s="77"/>
      <c r="P50" s="77"/>
      <c r="Q50" s="77"/>
      <c r="R50" s="77"/>
    </row>
    <row r="51" spans="1:18" ht="15" customHeight="1" x14ac:dyDescent="0.3">
      <c r="A51" s="352"/>
      <c r="B51" s="163" t="s">
        <v>85</v>
      </c>
      <c r="C51" s="155">
        <v>16</v>
      </c>
      <c r="D51" s="156"/>
      <c r="E51" s="183">
        <v>5</v>
      </c>
      <c r="F51" s="158">
        <f>C51+D51+E51</f>
        <v>21</v>
      </c>
      <c r="G51" s="159">
        <v>46006</v>
      </c>
      <c r="H51" s="161">
        <v>46007</v>
      </c>
      <c r="I51" s="161">
        <v>46014</v>
      </c>
      <c r="J51" s="161">
        <v>46055</v>
      </c>
      <c r="K51" s="161">
        <v>46083</v>
      </c>
      <c r="L51" s="162">
        <f>(K52-G51+1)/7</f>
        <v>15.714285714285714</v>
      </c>
      <c r="M51" s="495" t="s">
        <v>102</v>
      </c>
      <c r="O51" s="77"/>
      <c r="P51" s="77"/>
      <c r="Q51" s="77"/>
      <c r="R51" s="77"/>
    </row>
    <row r="52" spans="1:18" ht="15" customHeight="1" x14ac:dyDescent="0.3">
      <c r="A52" s="352"/>
      <c r="B52" s="163"/>
      <c r="C52" s="155"/>
      <c r="D52" s="156"/>
      <c r="E52" s="180"/>
      <c r="F52" s="158"/>
      <c r="G52" s="164"/>
      <c r="H52" s="160">
        <v>46009</v>
      </c>
      <c r="I52" s="160">
        <v>46052</v>
      </c>
      <c r="J52" s="160">
        <v>46082</v>
      </c>
      <c r="K52" s="165">
        <v>46115</v>
      </c>
      <c r="L52" s="166"/>
      <c r="M52" s="496"/>
      <c r="O52" s="77"/>
      <c r="P52" s="77"/>
      <c r="Q52" s="77"/>
      <c r="R52" s="77"/>
    </row>
    <row r="53" spans="1:18" ht="15" customHeight="1" x14ac:dyDescent="0.3">
      <c r="A53" s="352"/>
      <c r="B53" s="181"/>
      <c r="C53" s="168"/>
      <c r="D53" s="169"/>
      <c r="E53" s="182"/>
      <c r="F53" s="171"/>
      <c r="G53" s="172"/>
      <c r="H53" s="173">
        <f t="shared" ref="H53:K53" si="17">(H52-H51+1)/7</f>
        <v>0.42857142857142855</v>
      </c>
      <c r="I53" s="173">
        <f t="shared" si="17"/>
        <v>5.5714285714285712</v>
      </c>
      <c r="J53" s="188">
        <f t="shared" si="17"/>
        <v>4</v>
      </c>
      <c r="K53" s="173">
        <f t="shared" si="17"/>
        <v>4.7142857142857144</v>
      </c>
      <c r="L53" s="174"/>
      <c r="M53" s="497"/>
      <c r="O53" s="77"/>
      <c r="P53" s="77"/>
      <c r="Q53" s="77"/>
      <c r="R53" s="77"/>
    </row>
    <row r="54" spans="1:18" ht="15" customHeight="1" x14ac:dyDescent="0.3">
      <c r="A54" s="352"/>
      <c r="B54" s="132" t="s">
        <v>86</v>
      </c>
      <c r="C54" s="127">
        <v>16</v>
      </c>
      <c r="D54" s="126"/>
      <c r="E54" s="184"/>
      <c r="F54" s="141">
        <f t="shared" ref="F54" si="18">C54+D54+E54</f>
        <v>16</v>
      </c>
      <c r="G54" s="18">
        <v>46041</v>
      </c>
      <c r="H54" s="38">
        <v>46042</v>
      </c>
      <c r="I54" s="38">
        <v>46050</v>
      </c>
      <c r="J54" s="38">
        <v>46083</v>
      </c>
      <c r="K54" s="38">
        <v>46118</v>
      </c>
      <c r="L54" s="135">
        <f>(K55-G54+1)/7</f>
        <v>14.857142857142858</v>
      </c>
      <c r="M54" s="492" t="s">
        <v>103</v>
      </c>
      <c r="O54" s="77"/>
      <c r="P54" s="77"/>
      <c r="Q54" s="77"/>
      <c r="R54" s="77"/>
    </row>
    <row r="55" spans="1:18" ht="15" customHeight="1" x14ac:dyDescent="0.3">
      <c r="A55" s="352"/>
      <c r="B55" s="133"/>
      <c r="C55" s="127"/>
      <c r="D55" s="126"/>
      <c r="E55" s="185"/>
      <c r="F55" s="141"/>
      <c r="G55" s="22"/>
      <c r="H55" s="20">
        <v>46044</v>
      </c>
      <c r="I55" s="20">
        <v>46077</v>
      </c>
      <c r="J55" s="20">
        <v>46117</v>
      </c>
      <c r="K55" s="23">
        <v>46144</v>
      </c>
      <c r="L55" s="136"/>
      <c r="M55" s="493"/>
      <c r="O55" s="77"/>
      <c r="P55" s="77"/>
      <c r="Q55" s="77"/>
      <c r="R55" s="77"/>
    </row>
    <row r="56" spans="1:18" ht="15" customHeight="1" x14ac:dyDescent="0.3">
      <c r="A56" s="352"/>
      <c r="B56" s="134"/>
      <c r="C56" s="129"/>
      <c r="D56" s="130"/>
      <c r="E56" s="186"/>
      <c r="F56" s="142"/>
      <c r="G56" s="32"/>
      <c r="H56" s="34">
        <f t="shared" ref="H56:K56" si="19">(H55-H54+1)/7</f>
        <v>0.42857142857142855</v>
      </c>
      <c r="I56" s="34">
        <f t="shared" si="19"/>
        <v>4</v>
      </c>
      <c r="J56" s="189">
        <f t="shared" si="19"/>
        <v>5</v>
      </c>
      <c r="K56" s="34">
        <f t="shared" si="19"/>
        <v>3.8571428571428572</v>
      </c>
      <c r="L56" s="137"/>
      <c r="M56" s="494"/>
      <c r="O56" s="77"/>
      <c r="P56" s="77"/>
      <c r="Q56" s="77"/>
      <c r="R56" s="77"/>
    </row>
    <row r="57" spans="1:18" ht="15" customHeight="1" x14ac:dyDescent="0.3">
      <c r="A57" s="352"/>
      <c r="B57" s="133" t="s">
        <v>87</v>
      </c>
      <c r="C57" s="127">
        <v>16</v>
      </c>
      <c r="D57" s="126"/>
      <c r="E57" s="128"/>
      <c r="F57" s="141">
        <f t="shared" ref="F57" si="20">C57+D57+E57</f>
        <v>16</v>
      </c>
      <c r="G57" s="18">
        <v>46076</v>
      </c>
      <c r="H57" s="38">
        <v>46077</v>
      </c>
      <c r="I57" s="38">
        <v>46084</v>
      </c>
      <c r="J57" s="38">
        <v>46118</v>
      </c>
      <c r="K57" s="38">
        <v>46146</v>
      </c>
      <c r="L57" s="135">
        <f>(K58-G57+1)/7</f>
        <v>14.285714285714286</v>
      </c>
      <c r="M57" s="492" t="s">
        <v>104</v>
      </c>
      <c r="O57" s="77"/>
      <c r="P57" s="77"/>
      <c r="Q57" s="77"/>
      <c r="R57" s="77"/>
    </row>
    <row r="58" spans="1:18" ht="15" customHeight="1" x14ac:dyDescent="0.3">
      <c r="A58" s="352"/>
      <c r="B58" s="133"/>
      <c r="C58" s="127"/>
      <c r="D58" s="126"/>
      <c r="E58" s="128"/>
      <c r="F58" s="141"/>
      <c r="G58" s="22"/>
      <c r="H58" s="20">
        <v>46079</v>
      </c>
      <c r="I58" s="20">
        <v>46113</v>
      </c>
      <c r="J58" s="20">
        <v>46145</v>
      </c>
      <c r="K58" s="23">
        <v>46175</v>
      </c>
      <c r="L58" s="136"/>
      <c r="M58" s="493"/>
      <c r="O58" s="77"/>
      <c r="P58" s="77"/>
      <c r="Q58" s="77"/>
      <c r="R58" s="77"/>
    </row>
    <row r="59" spans="1:18" ht="15" customHeight="1" x14ac:dyDescent="0.3">
      <c r="A59" s="352"/>
      <c r="B59" s="134"/>
      <c r="C59" s="129"/>
      <c r="D59" s="130"/>
      <c r="E59" s="131"/>
      <c r="F59" s="142"/>
      <c r="G59" s="32"/>
      <c r="H59" s="34">
        <f t="shared" ref="H59:K59" si="21">(H58-H57+1)/7</f>
        <v>0.42857142857142855</v>
      </c>
      <c r="I59" s="34">
        <f t="shared" si="21"/>
        <v>4.2857142857142856</v>
      </c>
      <c r="J59" s="189">
        <f t="shared" si="21"/>
        <v>4</v>
      </c>
      <c r="K59" s="34">
        <f t="shared" si="21"/>
        <v>4.2857142857142856</v>
      </c>
      <c r="L59" s="137"/>
      <c r="M59" s="494"/>
      <c r="O59" s="77"/>
      <c r="P59" s="77"/>
      <c r="Q59" s="77"/>
      <c r="R59" s="77"/>
    </row>
    <row r="60" spans="1:18" ht="15" customHeight="1" x14ac:dyDescent="0.3">
      <c r="A60" s="352"/>
      <c r="B60" s="133" t="s">
        <v>88</v>
      </c>
      <c r="C60" s="127">
        <v>16</v>
      </c>
      <c r="D60" s="126"/>
      <c r="E60" s="128"/>
      <c r="F60" s="141">
        <f t="shared" ref="F60" si="22">C60+D60+E60</f>
        <v>16</v>
      </c>
      <c r="G60" s="18">
        <v>46104</v>
      </c>
      <c r="H60" s="38">
        <v>46105</v>
      </c>
      <c r="I60" s="38">
        <v>46114</v>
      </c>
      <c r="J60" s="20">
        <v>46146</v>
      </c>
      <c r="K60" s="38">
        <v>46176</v>
      </c>
      <c r="L60" s="135">
        <f>(K61-G60+1)/7</f>
        <v>15.714285714285714</v>
      </c>
      <c r="M60" s="492" t="s">
        <v>105</v>
      </c>
      <c r="O60" s="77"/>
      <c r="P60" s="77"/>
      <c r="Q60" s="77"/>
      <c r="R60" s="77"/>
    </row>
    <row r="61" spans="1:18" ht="15" customHeight="1" x14ac:dyDescent="0.3">
      <c r="A61" s="352"/>
      <c r="B61" s="133"/>
      <c r="C61" s="127"/>
      <c r="D61" s="126"/>
      <c r="E61" s="128"/>
      <c r="F61" s="141"/>
      <c r="G61" s="22"/>
      <c r="H61" s="20">
        <v>46107</v>
      </c>
      <c r="I61" s="20">
        <v>46142</v>
      </c>
      <c r="J61" s="20">
        <v>46173</v>
      </c>
      <c r="K61" s="23">
        <v>46213</v>
      </c>
      <c r="L61" s="136"/>
      <c r="M61" s="493"/>
      <c r="O61" s="77"/>
      <c r="P61" s="77"/>
      <c r="Q61" s="77"/>
      <c r="R61" s="77"/>
    </row>
    <row r="62" spans="1:18" ht="15" customHeight="1" thickBot="1" x14ac:dyDescent="0.35">
      <c r="A62" s="353"/>
      <c r="B62" s="149"/>
      <c r="C62" s="150"/>
      <c r="D62" s="151"/>
      <c r="E62" s="152"/>
      <c r="F62" s="153"/>
      <c r="G62" s="52"/>
      <c r="H62" s="54">
        <f t="shared" ref="H62:K62" si="23">(H61-H60+1)/7</f>
        <v>0.42857142857142855</v>
      </c>
      <c r="I62" s="54">
        <f t="shared" si="23"/>
        <v>4.1428571428571432</v>
      </c>
      <c r="J62" s="190">
        <f t="shared" si="23"/>
        <v>4</v>
      </c>
      <c r="K62" s="54">
        <f t="shared" si="23"/>
        <v>5.4285714285714288</v>
      </c>
      <c r="L62" s="154"/>
      <c r="M62" s="498"/>
      <c r="O62" s="77"/>
      <c r="P62" s="77"/>
      <c r="Q62" s="77"/>
      <c r="R62" s="77"/>
    </row>
    <row r="63" spans="1:18" ht="24" customHeight="1" thickBot="1" x14ac:dyDescent="0.35">
      <c r="A63" s="343" t="s">
        <v>10</v>
      </c>
      <c r="B63" s="344"/>
      <c r="C63" s="112">
        <f>SUM(C33:C62)</f>
        <v>158</v>
      </c>
      <c r="D63" s="114">
        <f t="shared" ref="D63:E63" si="24">SUM(D33:D62)</f>
        <v>0</v>
      </c>
      <c r="E63" s="57">
        <f t="shared" si="24"/>
        <v>19</v>
      </c>
      <c r="F63" s="140">
        <f>SUM(C63:E63)</f>
        <v>177</v>
      </c>
      <c r="G63" s="453" t="s">
        <v>42</v>
      </c>
      <c r="H63" s="454"/>
      <c r="I63" s="454"/>
      <c r="J63" s="454"/>
      <c r="K63" s="455"/>
      <c r="L63" s="61">
        <f>AVERAGE(L33:L62)</f>
        <v>14.085714285714285</v>
      </c>
      <c r="M63" s="62" t="s">
        <v>41</v>
      </c>
    </row>
    <row r="64" spans="1:18" ht="24" customHeight="1" thickBot="1" x14ac:dyDescent="0.35">
      <c r="A64" s="345" t="s">
        <v>69</v>
      </c>
      <c r="B64" s="346"/>
      <c r="C64" s="112">
        <f>C32+C63</f>
        <v>182</v>
      </c>
      <c r="D64" s="114">
        <f t="shared" ref="D64:E64" si="25">D32+D63</f>
        <v>49</v>
      </c>
      <c r="E64" s="57">
        <f t="shared" si="25"/>
        <v>19</v>
      </c>
      <c r="F64" s="140">
        <f>SUM(C64:E64)</f>
        <v>250</v>
      </c>
      <c r="G64" s="456" t="s">
        <v>70</v>
      </c>
      <c r="H64" s="457"/>
      <c r="I64" s="457"/>
      <c r="J64" s="457"/>
      <c r="K64" s="458"/>
      <c r="L64" s="61">
        <f>AVERAGE(L32,L63)</f>
        <v>12.709523809523809</v>
      </c>
      <c r="M64" s="62" t="s">
        <v>41</v>
      </c>
    </row>
    <row r="65" spans="1:13" ht="45.75" customHeight="1" x14ac:dyDescent="0.3">
      <c r="A65" s="347" t="s">
        <v>71</v>
      </c>
      <c r="B65" s="347"/>
      <c r="C65" s="347"/>
      <c r="D65" s="347"/>
      <c r="E65" s="347"/>
      <c r="F65" s="347"/>
      <c r="G65" s="347"/>
      <c r="H65" s="347"/>
      <c r="I65" s="347"/>
      <c r="J65" s="347"/>
      <c r="K65" s="347"/>
      <c r="L65" s="347"/>
      <c r="M65" s="347"/>
    </row>
    <row r="66" spans="1:13" x14ac:dyDescent="0.3">
      <c r="H66" s="39"/>
    </row>
    <row r="67" spans="1:13" x14ac:dyDescent="0.3">
      <c r="G67" s="39"/>
      <c r="H67" s="39"/>
    </row>
    <row r="68" spans="1:13" x14ac:dyDescent="0.3">
      <c r="C68" s="39"/>
      <c r="D68" s="39"/>
      <c r="G68" s="39"/>
    </row>
  </sheetData>
  <mergeCells count="55">
    <mergeCell ref="A64:B64"/>
    <mergeCell ref="G64:K64"/>
    <mergeCell ref="A65:M65"/>
    <mergeCell ref="M51:M53"/>
    <mergeCell ref="M54:M56"/>
    <mergeCell ref="M57:M59"/>
    <mergeCell ref="M60:M62"/>
    <mergeCell ref="A63:B63"/>
    <mergeCell ref="G63:K63"/>
    <mergeCell ref="A32:B32"/>
    <mergeCell ref="G32:K32"/>
    <mergeCell ref="O32:P32"/>
    <mergeCell ref="A33:A62"/>
    <mergeCell ref="M33:M35"/>
    <mergeCell ref="M36:M38"/>
    <mergeCell ref="M39:M41"/>
    <mergeCell ref="M42:M44"/>
    <mergeCell ref="M45:M47"/>
    <mergeCell ref="M48:M50"/>
    <mergeCell ref="M11:M13"/>
    <mergeCell ref="C12:D12"/>
    <mergeCell ref="G12:L12"/>
    <mergeCell ref="A14:A31"/>
    <mergeCell ref="M14:M16"/>
    <mergeCell ref="M17:M19"/>
    <mergeCell ref="M20:M22"/>
    <mergeCell ref="M23:M25"/>
    <mergeCell ref="M26:M28"/>
    <mergeCell ref="M29:M31"/>
    <mergeCell ref="A11:A13"/>
    <mergeCell ref="B11:B13"/>
    <mergeCell ref="C11:E11"/>
    <mergeCell ref="F11:F13"/>
    <mergeCell ref="G11:L11"/>
    <mergeCell ref="A8:B8"/>
    <mergeCell ref="C8:F8"/>
    <mergeCell ref="G8:H8"/>
    <mergeCell ref="I8:M8"/>
    <mergeCell ref="A10:B10"/>
    <mergeCell ref="A5:B5"/>
    <mergeCell ref="C5:F5"/>
    <mergeCell ref="G5:H5"/>
    <mergeCell ref="I5:M7"/>
    <mergeCell ref="A6:B6"/>
    <mergeCell ref="C6:F6"/>
    <mergeCell ref="G6:H6"/>
    <mergeCell ref="A7:B7"/>
    <mergeCell ref="C7:F7"/>
    <mergeCell ref="G7:H7"/>
    <mergeCell ref="A1:M1"/>
    <mergeCell ref="A3:B3"/>
    <mergeCell ref="A4:B4"/>
    <mergeCell ref="C4:F4"/>
    <mergeCell ref="G4:H4"/>
    <mergeCell ref="I4:M4"/>
  </mergeCells>
  <phoneticPr fontId="2" type="noConversion"/>
  <printOptions horizontalCentered="1"/>
  <pageMargins left="0.31496062992125984" right="0.31496062992125984" top="0.74803149606299213" bottom="0.39370078740157483" header="0.31496062992125984" footer="0.31496062992125984"/>
  <pageSetup paperSize="9" scale="6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AC540-483D-4DB8-AA5C-013135D1B392}">
  <sheetPr>
    <pageSetUpPr fitToPage="1"/>
  </sheetPr>
  <dimension ref="A1:T68"/>
  <sheetViews>
    <sheetView showGridLines="0" workbookViewId="0">
      <selection activeCell="I54" sqref="I54"/>
    </sheetView>
  </sheetViews>
  <sheetFormatPr defaultColWidth="9" defaultRowHeight="16.5" x14ac:dyDescent="0.3"/>
  <cols>
    <col min="1" max="1" width="10.5" style="5" customWidth="1"/>
    <col min="2" max="2" width="12.125" style="5" customWidth="1"/>
    <col min="3" max="6" width="6.375" style="5" customWidth="1"/>
    <col min="7" max="12" width="11.625" style="5" customWidth="1"/>
    <col min="13" max="13" width="16.25" style="100" customWidth="1"/>
    <col min="14" max="14" width="5.625" style="5" customWidth="1"/>
    <col min="15" max="15" width="15.625" style="5" hidden="1" customWidth="1"/>
    <col min="16" max="17" width="11.75" style="5" hidden="1" customWidth="1"/>
    <col min="18" max="23" width="8.75" style="5" customWidth="1"/>
    <col min="24" max="16384" width="9" style="5"/>
  </cols>
  <sheetData>
    <row r="1" spans="1:19" s="1" customFormat="1" ht="39" customHeight="1" x14ac:dyDescent="0.3">
      <c r="A1" s="471" t="s">
        <v>72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</row>
    <row r="2" spans="1:19" ht="22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>
        <v>45803</v>
      </c>
    </row>
    <row r="3" spans="1:19" ht="24" customHeight="1" x14ac:dyDescent="0.3">
      <c r="A3" s="418" t="s">
        <v>0</v>
      </c>
      <c r="B3" s="419"/>
      <c r="C3" s="2"/>
      <c r="D3" s="2"/>
      <c r="E3" s="2"/>
      <c r="F3" s="2"/>
      <c r="G3" s="6"/>
      <c r="H3" s="6"/>
      <c r="I3" s="6"/>
      <c r="J3" s="6"/>
      <c r="K3" s="6"/>
      <c r="L3" s="6"/>
      <c r="M3" s="7"/>
    </row>
    <row r="4" spans="1:19" ht="35.25" customHeight="1" thickBot="1" x14ac:dyDescent="0.35">
      <c r="A4" s="420" t="s">
        <v>1</v>
      </c>
      <c r="B4" s="421"/>
      <c r="C4" s="422" t="s">
        <v>94</v>
      </c>
      <c r="D4" s="423"/>
      <c r="E4" s="424"/>
      <c r="F4" s="420"/>
      <c r="G4" s="422" t="s">
        <v>95</v>
      </c>
      <c r="H4" s="420"/>
      <c r="I4" s="426" t="s">
        <v>5</v>
      </c>
      <c r="J4" s="424"/>
      <c r="K4" s="424"/>
      <c r="L4" s="424"/>
      <c r="M4" s="424"/>
    </row>
    <row r="5" spans="1:19" ht="24" customHeight="1" x14ac:dyDescent="0.3">
      <c r="A5" s="427" t="s">
        <v>8</v>
      </c>
      <c r="B5" s="428"/>
      <c r="C5" s="429"/>
      <c r="D5" s="430"/>
      <c r="E5" s="430"/>
      <c r="F5" s="431"/>
      <c r="G5" s="429"/>
      <c r="H5" s="431"/>
      <c r="I5" s="434" t="s">
        <v>113</v>
      </c>
      <c r="J5" s="435"/>
      <c r="K5" s="466"/>
      <c r="L5" s="466"/>
      <c r="M5" s="466"/>
    </row>
    <row r="6" spans="1:19" ht="24" customHeight="1" x14ac:dyDescent="0.3">
      <c r="A6" s="440" t="s">
        <v>9</v>
      </c>
      <c r="B6" s="441"/>
      <c r="C6" s="442">
        <f>SUM(F20:F29,F33:F53)</f>
        <v>170</v>
      </c>
      <c r="D6" s="443"/>
      <c r="E6" s="443"/>
      <c r="F6" s="444"/>
      <c r="G6" s="442"/>
      <c r="H6" s="444"/>
      <c r="I6" s="467"/>
      <c r="J6" s="468"/>
      <c r="K6" s="468"/>
      <c r="L6" s="468"/>
      <c r="M6" s="468"/>
    </row>
    <row r="7" spans="1:19" ht="24" customHeight="1" thickBot="1" x14ac:dyDescent="0.35">
      <c r="A7" s="445" t="s">
        <v>73</v>
      </c>
      <c r="B7" s="446"/>
      <c r="C7" s="392"/>
      <c r="D7" s="447"/>
      <c r="E7" s="447"/>
      <c r="F7" s="393"/>
      <c r="G7" s="392">
        <f>SUM(F45:F62)</f>
        <v>115</v>
      </c>
      <c r="H7" s="393"/>
      <c r="I7" s="469"/>
      <c r="J7" s="470"/>
      <c r="K7" s="470"/>
      <c r="L7" s="470"/>
      <c r="M7" s="470"/>
    </row>
    <row r="8" spans="1:19" ht="24" customHeight="1" x14ac:dyDescent="0.3">
      <c r="A8" s="407" t="s">
        <v>10</v>
      </c>
      <c r="B8" s="408"/>
      <c r="C8" s="409">
        <f>SUM(C5:F7)</f>
        <v>170</v>
      </c>
      <c r="D8" s="410"/>
      <c r="E8" s="410"/>
      <c r="F8" s="411"/>
      <c r="G8" s="409">
        <f>G7</f>
        <v>115</v>
      </c>
      <c r="H8" s="411"/>
      <c r="I8" s="412"/>
      <c r="J8" s="414"/>
      <c r="K8" s="414"/>
      <c r="L8" s="414"/>
      <c r="M8" s="414"/>
    </row>
    <row r="9" spans="1:19" ht="12" customHeight="1" x14ac:dyDescent="0.3">
      <c r="A9" s="8"/>
      <c r="B9" s="8"/>
      <c r="C9" s="8"/>
      <c r="D9" s="8"/>
      <c r="E9" s="8"/>
      <c r="F9" s="8"/>
      <c r="G9" s="125"/>
      <c r="H9" s="8"/>
      <c r="I9" s="8"/>
      <c r="J9" s="8"/>
      <c r="K9" s="8"/>
      <c r="L9" s="8"/>
      <c r="M9" s="8"/>
      <c r="R9" s="39"/>
    </row>
    <row r="10" spans="1:19" ht="29.25" customHeight="1" thickBot="1" x14ac:dyDescent="0.35">
      <c r="A10" s="415" t="s">
        <v>11</v>
      </c>
      <c r="B10" s="416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9" ht="36" customHeight="1" x14ac:dyDescent="0.3">
      <c r="A11" s="394" t="s">
        <v>12</v>
      </c>
      <c r="B11" s="397" t="s">
        <v>13</v>
      </c>
      <c r="C11" s="399" t="s">
        <v>14</v>
      </c>
      <c r="D11" s="399"/>
      <c r="E11" s="400"/>
      <c r="F11" s="401" t="s">
        <v>15</v>
      </c>
      <c r="G11" s="404" t="s">
        <v>18</v>
      </c>
      <c r="H11" s="405"/>
      <c r="I11" s="405"/>
      <c r="J11" s="405"/>
      <c r="K11" s="405"/>
      <c r="L11" s="406"/>
      <c r="M11" s="460" t="s">
        <v>19</v>
      </c>
    </row>
    <row r="12" spans="1:19" ht="22.5" customHeight="1" x14ac:dyDescent="0.3">
      <c r="A12" s="395"/>
      <c r="B12" s="398"/>
      <c r="C12" s="463" t="s">
        <v>96</v>
      </c>
      <c r="D12" s="464"/>
      <c r="E12" s="113" t="s">
        <v>97</v>
      </c>
      <c r="F12" s="402"/>
      <c r="G12" s="465" t="s">
        <v>114</v>
      </c>
      <c r="H12" s="382"/>
      <c r="I12" s="382"/>
      <c r="J12" s="382"/>
      <c r="K12" s="382"/>
      <c r="L12" s="383"/>
      <c r="M12" s="461"/>
    </row>
    <row r="13" spans="1:19" ht="35.25" customHeight="1" thickBot="1" x14ac:dyDescent="0.35">
      <c r="A13" s="396"/>
      <c r="B13" s="385"/>
      <c r="C13" s="107" t="s">
        <v>98</v>
      </c>
      <c r="D13" s="104" t="s">
        <v>99</v>
      </c>
      <c r="E13" s="104" t="s">
        <v>98</v>
      </c>
      <c r="F13" s="403"/>
      <c r="G13" s="9" t="s">
        <v>23</v>
      </c>
      <c r="H13" s="10" t="s">
        <v>24</v>
      </c>
      <c r="I13" s="10" t="s">
        <v>25</v>
      </c>
      <c r="J13" s="10" t="s">
        <v>111</v>
      </c>
      <c r="K13" s="11" t="s">
        <v>26</v>
      </c>
      <c r="L13" s="12" t="s">
        <v>27</v>
      </c>
      <c r="M13" s="462"/>
    </row>
    <row r="14" spans="1:19" ht="16.5" customHeight="1" x14ac:dyDescent="0.3">
      <c r="A14" s="351" t="s">
        <v>44</v>
      </c>
      <c r="B14" s="13" t="s">
        <v>58</v>
      </c>
      <c r="C14" s="108">
        <v>13</v>
      </c>
      <c r="D14" s="15">
        <v>3</v>
      </c>
      <c r="E14" s="14"/>
      <c r="F14" s="138">
        <f>C14+D14+E14</f>
        <v>16</v>
      </c>
      <c r="G14" s="117">
        <v>45600</v>
      </c>
      <c r="H14" s="19">
        <v>45601</v>
      </c>
      <c r="I14" s="37">
        <v>45608</v>
      </c>
      <c r="J14" s="37"/>
      <c r="K14" s="37">
        <v>45643</v>
      </c>
      <c r="L14" s="21">
        <f>(K15-G14+1)/7</f>
        <v>11.714285714285714</v>
      </c>
      <c r="M14" s="473" t="s">
        <v>59</v>
      </c>
    </row>
    <row r="15" spans="1:19" ht="16.5" customHeight="1" x14ac:dyDescent="0.3">
      <c r="A15" s="352"/>
      <c r="B15" s="13"/>
      <c r="C15" s="108"/>
      <c r="D15" s="15"/>
      <c r="E15" s="14"/>
      <c r="F15" s="138"/>
      <c r="G15" s="101"/>
      <c r="H15" s="19">
        <v>45603</v>
      </c>
      <c r="I15" s="19">
        <v>45643</v>
      </c>
      <c r="J15" s="19"/>
      <c r="K15" s="120">
        <v>45681</v>
      </c>
      <c r="L15" s="24"/>
      <c r="M15" s="474"/>
      <c r="S15" s="26"/>
    </row>
    <row r="16" spans="1:19" ht="16.5" customHeight="1" x14ac:dyDescent="0.3">
      <c r="A16" s="352"/>
      <c r="B16" s="27"/>
      <c r="C16" s="109"/>
      <c r="D16" s="29"/>
      <c r="E16" s="28"/>
      <c r="F16" s="139"/>
      <c r="G16" s="102"/>
      <c r="H16" s="33">
        <f t="shared" ref="H16" si="0">(H15-H14+1)/7</f>
        <v>0.42857142857142855</v>
      </c>
      <c r="I16" s="33">
        <f>(I15-I14+1)/7</f>
        <v>5.1428571428571432</v>
      </c>
      <c r="J16" s="33"/>
      <c r="K16" s="33">
        <f>(K15-K14+1)/7</f>
        <v>5.5714285714285712</v>
      </c>
      <c r="L16" s="35"/>
      <c r="M16" s="475"/>
    </row>
    <row r="17" spans="1:19" ht="16.5" customHeight="1" x14ac:dyDescent="0.3">
      <c r="A17" s="352"/>
      <c r="B17" s="41" t="s">
        <v>60</v>
      </c>
      <c r="C17" s="110">
        <v>7</v>
      </c>
      <c r="D17" s="43">
        <v>9</v>
      </c>
      <c r="E17" s="42"/>
      <c r="F17" s="138">
        <f t="shared" ref="F17" si="1">C17+D17+E17</f>
        <v>16</v>
      </c>
      <c r="G17" s="117">
        <v>45635</v>
      </c>
      <c r="H17" s="19">
        <v>45636</v>
      </c>
      <c r="I17" s="37">
        <v>45642</v>
      </c>
      <c r="J17" s="37"/>
      <c r="K17" s="37">
        <v>45691</v>
      </c>
      <c r="L17" s="21">
        <f>(K18-G17+1)/7</f>
        <v>13.285714285714286</v>
      </c>
      <c r="M17" s="476" t="s">
        <v>61</v>
      </c>
      <c r="O17" s="26"/>
      <c r="R17" s="39"/>
      <c r="S17" s="39"/>
    </row>
    <row r="18" spans="1:19" ht="16.5" customHeight="1" x14ac:dyDescent="0.3">
      <c r="A18" s="352"/>
      <c r="B18" s="13"/>
      <c r="C18" s="108"/>
      <c r="D18" s="15"/>
      <c r="E18" s="14"/>
      <c r="F18" s="138"/>
      <c r="G18" s="118"/>
      <c r="H18" s="19">
        <v>45638</v>
      </c>
      <c r="I18" s="19">
        <v>45681</v>
      </c>
      <c r="J18" s="19"/>
      <c r="K18" s="120">
        <v>45727</v>
      </c>
      <c r="L18" s="24"/>
      <c r="M18" s="474"/>
      <c r="R18" s="39"/>
    </row>
    <row r="19" spans="1:19" ht="16.5" customHeight="1" x14ac:dyDescent="0.3">
      <c r="A19" s="352"/>
      <c r="B19" s="27"/>
      <c r="C19" s="109"/>
      <c r="D19" s="29"/>
      <c r="E19" s="28"/>
      <c r="F19" s="139"/>
      <c r="G19" s="119"/>
      <c r="H19" s="33">
        <f>(H18-H17+1)/7</f>
        <v>0.42857142857142855</v>
      </c>
      <c r="I19" s="33">
        <f>(I18-I17+1)/7</f>
        <v>5.7142857142857144</v>
      </c>
      <c r="J19" s="33"/>
      <c r="K19" s="33">
        <f>(K18-K17+1)/7</f>
        <v>5.2857142857142856</v>
      </c>
      <c r="L19" s="35"/>
      <c r="M19" s="475"/>
    </row>
    <row r="20" spans="1:19" ht="16.5" customHeight="1" x14ac:dyDescent="0.3">
      <c r="A20" s="352"/>
      <c r="B20" s="13" t="s">
        <v>62</v>
      </c>
      <c r="C20" s="108"/>
      <c r="D20" s="15">
        <v>12</v>
      </c>
      <c r="E20" s="14"/>
      <c r="F20" s="138">
        <f t="shared" ref="F20" si="2">C20+D20+E20</f>
        <v>12</v>
      </c>
      <c r="G20" s="106">
        <v>45677</v>
      </c>
      <c r="H20" s="19">
        <v>45678</v>
      </c>
      <c r="I20" s="19">
        <v>45691</v>
      </c>
      <c r="J20" s="19"/>
      <c r="K20" s="19">
        <v>45728</v>
      </c>
      <c r="L20" s="24">
        <f>(K21-G20+1)/7</f>
        <v>10.142857142857142</v>
      </c>
      <c r="M20" s="477" t="s">
        <v>109</v>
      </c>
      <c r="O20" s="26"/>
      <c r="R20" s="39"/>
    </row>
    <row r="21" spans="1:19" ht="16.5" customHeight="1" x14ac:dyDescent="0.3">
      <c r="A21" s="352"/>
      <c r="B21" s="13"/>
      <c r="C21" s="108"/>
      <c r="D21" s="15"/>
      <c r="E21" s="14"/>
      <c r="F21" s="138"/>
      <c r="G21" s="118"/>
      <c r="H21" s="19">
        <v>45680</v>
      </c>
      <c r="I21" s="19">
        <v>45720</v>
      </c>
      <c r="J21" s="19"/>
      <c r="K21" s="120">
        <v>45747</v>
      </c>
      <c r="L21" s="24"/>
      <c r="M21" s="474"/>
    </row>
    <row r="22" spans="1:19" ht="16.5" customHeight="1" x14ac:dyDescent="0.3">
      <c r="A22" s="352"/>
      <c r="B22" s="27"/>
      <c r="C22" s="109"/>
      <c r="D22" s="29"/>
      <c r="E22" s="28"/>
      <c r="F22" s="139"/>
      <c r="G22" s="119"/>
      <c r="H22" s="33">
        <f>(H21-H20+1)/7</f>
        <v>0.42857142857142855</v>
      </c>
      <c r="I22" s="33">
        <f>(I21-I20+1)/7</f>
        <v>4.2857142857142856</v>
      </c>
      <c r="J22" s="33"/>
      <c r="K22" s="33">
        <f>(K21-K20+1)/7</f>
        <v>2.8571428571428572</v>
      </c>
      <c r="L22" s="35"/>
      <c r="M22" s="475"/>
    </row>
    <row r="23" spans="1:19" ht="16.5" customHeight="1" x14ac:dyDescent="0.3">
      <c r="A23" s="352"/>
      <c r="B23" s="41" t="s">
        <v>64</v>
      </c>
      <c r="C23" s="110"/>
      <c r="D23" s="43">
        <v>9</v>
      </c>
      <c r="E23" s="42"/>
      <c r="F23" s="138">
        <f t="shared" ref="F23" si="3">C23+D23+E23</f>
        <v>9</v>
      </c>
      <c r="G23" s="117">
        <v>45712</v>
      </c>
      <c r="H23" s="37">
        <v>45713</v>
      </c>
      <c r="I23" s="37">
        <v>45721</v>
      </c>
      <c r="J23" s="37"/>
      <c r="K23" s="37">
        <v>45749</v>
      </c>
      <c r="L23" s="21">
        <f>(K24-G23+1)/7</f>
        <v>9.2857142857142865</v>
      </c>
      <c r="M23" s="473" t="s">
        <v>106</v>
      </c>
      <c r="O23" s="26"/>
    </row>
    <row r="24" spans="1:19" ht="16.5" customHeight="1" x14ac:dyDescent="0.3">
      <c r="A24" s="352"/>
      <c r="B24" s="13"/>
      <c r="C24" s="108"/>
      <c r="D24" s="15"/>
      <c r="E24" s="14"/>
      <c r="F24" s="138"/>
      <c r="G24" s="118"/>
      <c r="H24" s="19">
        <v>45715</v>
      </c>
      <c r="I24" s="19">
        <v>45754</v>
      </c>
      <c r="J24" s="19"/>
      <c r="K24" s="120">
        <v>45776</v>
      </c>
      <c r="L24" s="24"/>
      <c r="M24" s="474"/>
    </row>
    <row r="25" spans="1:19" ht="16.5" customHeight="1" x14ac:dyDescent="0.3">
      <c r="A25" s="352"/>
      <c r="B25" s="27"/>
      <c r="C25" s="109"/>
      <c r="D25" s="29"/>
      <c r="E25" s="28"/>
      <c r="F25" s="139"/>
      <c r="G25" s="119"/>
      <c r="H25" s="33">
        <f>(H24-H23+1)/7</f>
        <v>0.42857142857142855</v>
      </c>
      <c r="I25" s="33">
        <f>(I24-I23+1)/7</f>
        <v>4.8571428571428568</v>
      </c>
      <c r="J25" s="33"/>
      <c r="K25" s="33">
        <f>(K24-K23+1)/7</f>
        <v>4</v>
      </c>
      <c r="L25" s="35"/>
      <c r="M25" s="475"/>
    </row>
    <row r="26" spans="1:19" ht="16.5" customHeight="1" x14ac:dyDescent="0.3">
      <c r="A26" s="352"/>
      <c r="B26" s="41" t="s">
        <v>66</v>
      </c>
      <c r="C26" s="110">
        <v>4</v>
      </c>
      <c r="D26" s="43"/>
      <c r="E26" s="42"/>
      <c r="F26" s="138">
        <f t="shared" ref="F26" si="4">C26+D26+E26</f>
        <v>4</v>
      </c>
      <c r="G26" s="117">
        <v>45726</v>
      </c>
      <c r="H26" s="37">
        <v>45727</v>
      </c>
      <c r="I26" s="37">
        <v>45733</v>
      </c>
      <c r="J26" s="37">
        <v>45768</v>
      </c>
      <c r="K26" s="83">
        <v>45784</v>
      </c>
      <c r="L26" s="121">
        <f>(K27-G26+1)/7</f>
        <v>10.285714285714286</v>
      </c>
      <c r="M26" s="500" t="s">
        <v>107</v>
      </c>
    </row>
    <row r="27" spans="1:19" ht="16.5" customHeight="1" x14ac:dyDescent="0.3">
      <c r="A27" s="352"/>
      <c r="B27" s="13"/>
      <c r="C27" s="108"/>
      <c r="D27" s="15"/>
      <c r="E27" s="14"/>
      <c r="F27" s="138"/>
      <c r="G27" s="101"/>
      <c r="H27" s="19">
        <v>45729</v>
      </c>
      <c r="I27" s="19">
        <v>45763</v>
      </c>
      <c r="J27" s="19">
        <v>45781</v>
      </c>
      <c r="K27" s="85">
        <v>45797</v>
      </c>
      <c r="L27" s="122"/>
      <c r="M27" s="501"/>
    </row>
    <row r="28" spans="1:19" ht="16.5" customHeight="1" x14ac:dyDescent="0.3">
      <c r="A28" s="352"/>
      <c r="B28" s="27"/>
      <c r="C28" s="109"/>
      <c r="D28" s="29"/>
      <c r="E28" s="28"/>
      <c r="F28" s="139"/>
      <c r="G28" s="102"/>
      <c r="H28" s="33">
        <f>(H27-H26+1)/7</f>
        <v>0.42857142857142855</v>
      </c>
      <c r="I28" s="33">
        <f>(I27-I26+1)/7</f>
        <v>4.4285714285714288</v>
      </c>
      <c r="J28" s="33">
        <f t="shared" ref="J28" si="5">(J27-J26+1)/7</f>
        <v>2</v>
      </c>
      <c r="K28" s="87">
        <f>(K27-K26+1)/7</f>
        <v>2</v>
      </c>
      <c r="L28" s="123"/>
      <c r="M28" s="502"/>
    </row>
    <row r="29" spans="1:19" ht="16.5" customHeight="1" x14ac:dyDescent="0.3">
      <c r="A29" s="352"/>
      <c r="B29" s="41" t="s">
        <v>67</v>
      </c>
      <c r="C29" s="110"/>
      <c r="D29" s="43">
        <v>16</v>
      </c>
      <c r="E29" s="42"/>
      <c r="F29" s="138">
        <f t="shared" ref="F29" si="6">C29+D29+E29</f>
        <v>16</v>
      </c>
      <c r="G29" s="117">
        <v>45747</v>
      </c>
      <c r="H29" s="37">
        <v>45748</v>
      </c>
      <c r="I29" s="38">
        <v>45756</v>
      </c>
      <c r="J29" s="38"/>
      <c r="K29" s="83">
        <v>45803</v>
      </c>
      <c r="L29" s="121">
        <f>(K30-G29+1)/7</f>
        <v>13.714285714285714</v>
      </c>
      <c r="M29" s="500" t="s">
        <v>108</v>
      </c>
      <c r="O29" s="26"/>
    </row>
    <row r="30" spans="1:19" ht="16.5" customHeight="1" x14ac:dyDescent="0.3">
      <c r="A30" s="352"/>
      <c r="B30" s="13"/>
      <c r="C30" s="108"/>
      <c r="D30" s="15"/>
      <c r="E30" s="14"/>
      <c r="F30" s="138"/>
      <c r="G30" s="101"/>
      <c r="H30" s="19">
        <v>45750</v>
      </c>
      <c r="I30" s="115">
        <v>45803</v>
      </c>
      <c r="J30" s="115"/>
      <c r="K30" s="85">
        <v>45842</v>
      </c>
      <c r="L30" s="122"/>
      <c r="M30" s="501"/>
    </row>
    <row r="31" spans="1:19" ht="16.5" customHeight="1" thickBot="1" x14ac:dyDescent="0.35">
      <c r="A31" s="353"/>
      <c r="B31" s="47"/>
      <c r="C31" s="111"/>
      <c r="D31" s="49"/>
      <c r="E31" s="48"/>
      <c r="F31" s="105"/>
      <c r="G31" s="103"/>
      <c r="H31" s="53">
        <f>(H30-H29+1)/7</f>
        <v>0.42857142857142855</v>
      </c>
      <c r="I31" s="116">
        <f>(I30-I29+1)/7</f>
        <v>6.8571428571428568</v>
      </c>
      <c r="J31" s="116"/>
      <c r="K31" s="98">
        <f>(K30-K29+1)/7</f>
        <v>5.7142857142857144</v>
      </c>
      <c r="L31" s="124"/>
      <c r="M31" s="503"/>
      <c r="Q31" s="39"/>
    </row>
    <row r="32" spans="1:19" ht="24" customHeight="1" thickBot="1" x14ac:dyDescent="0.35">
      <c r="A32" s="343" t="s">
        <v>10</v>
      </c>
      <c r="B32" s="344"/>
      <c r="C32" s="112">
        <f>SUM(C14:C31)</f>
        <v>24</v>
      </c>
      <c r="D32" s="58">
        <f>SUM(D14:D31)</f>
        <v>49</v>
      </c>
      <c r="E32" s="57">
        <f>SUM(E14:E31)</f>
        <v>0</v>
      </c>
      <c r="F32" s="140">
        <f>SUM(C32:E32)</f>
        <v>73</v>
      </c>
      <c r="G32" s="480" t="s">
        <v>42</v>
      </c>
      <c r="H32" s="481"/>
      <c r="I32" s="481"/>
      <c r="J32" s="481"/>
      <c r="K32" s="482"/>
      <c r="L32" s="61">
        <f>AVERAGE(L14:L31)</f>
        <v>11.404761904761903</v>
      </c>
      <c r="M32" s="62" t="s">
        <v>41</v>
      </c>
      <c r="O32" s="350" t="s">
        <v>43</v>
      </c>
      <c r="P32" s="350"/>
    </row>
    <row r="33" spans="1:20" ht="15" customHeight="1" x14ac:dyDescent="0.3">
      <c r="A33" s="351" t="s">
        <v>74</v>
      </c>
      <c r="B33" s="143" t="s">
        <v>75</v>
      </c>
      <c r="C33" s="144">
        <v>14</v>
      </c>
      <c r="D33" s="145"/>
      <c r="E33" s="146"/>
      <c r="F33" s="141">
        <f>C33+D33+E33</f>
        <v>14</v>
      </c>
      <c r="G33" s="67">
        <v>45796</v>
      </c>
      <c r="H33" s="69">
        <v>45797</v>
      </c>
      <c r="I33" s="69">
        <v>45803</v>
      </c>
      <c r="J33" s="69"/>
      <c r="K33" s="69">
        <v>45845</v>
      </c>
      <c r="L33" s="147">
        <f>(K34-G33+1)/7</f>
        <v>12.142857142857142</v>
      </c>
      <c r="M33" s="499" t="s">
        <v>76</v>
      </c>
      <c r="N33" s="71"/>
      <c r="O33" s="5" t="s">
        <v>47</v>
      </c>
      <c r="P33" s="72" t="e">
        <f>AVERAGE(H35,H38,H41,H44,H47,H62,#REF!,#REF!,#REF!,#REF!)</f>
        <v>#REF!</v>
      </c>
      <c r="Q33" s="5">
        <v>1</v>
      </c>
      <c r="R33" s="39"/>
    </row>
    <row r="34" spans="1:20" ht="15" customHeight="1" x14ac:dyDescent="0.3">
      <c r="A34" s="352"/>
      <c r="B34" s="133"/>
      <c r="C34" s="127"/>
      <c r="D34" s="126"/>
      <c r="E34" s="128"/>
      <c r="F34" s="141"/>
      <c r="G34" s="22"/>
      <c r="H34" s="20">
        <v>45799</v>
      </c>
      <c r="I34" s="20">
        <v>45842</v>
      </c>
      <c r="J34" s="20"/>
      <c r="K34" s="23">
        <v>45880</v>
      </c>
      <c r="L34" s="136"/>
      <c r="M34" s="493"/>
      <c r="N34" s="71"/>
      <c r="O34" s="5" t="s">
        <v>48</v>
      </c>
      <c r="P34" s="72" t="e">
        <f>AVERAGE(I35,I38,I41,I44,I47,I62,#REF!,#REF!,#REF!,#REF!)</f>
        <v>#REF!</v>
      </c>
      <c r="Q34" s="5">
        <v>6</v>
      </c>
    </row>
    <row r="35" spans="1:20" ht="15" customHeight="1" x14ac:dyDescent="0.3">
      <c r="A35" s="352"/>
      <c r="B35" s="148"/>
      <c r="C35" s="129"/>
      <c r="D35" s="130"/>
      <c r="E35" s="131"/>
      <c r="F35" s="142"/>
      <c r="G35" s="32"/>
      <c r="H35" s="34">
        <f>(H34-H33+1)/7</f>
        <v>0.42857142857142855</v>
      </c>
      <c r="I35" s="34">
        <f>(I34-I33+1)/7</f>
        <v>5.7142857142857144</v>
      </c>
      <c r="J35" s="34"/>
      <c r="K35" s="34">
        <f>(K34-K33+1)/7</f>
        <v>5.1428571428571432</v>
      </c>
      <c r="L35" s="137"/>
      <c r="M35" s="494"/>
      <c r="N35" s="71"/>
      <c r="O35" s="5" t="s">
        <v>49</v>
      </c>
      <c r="P35" s="72" t="e">
        <f>AVERAGE(K35,K38,K41,K44,K47,K62,#REF!,#REF!,#REF!,#REF!)</f>
        <v>#REF!</v>
      </c>
      <c r="Q35" s="5">
        <v>5</v>
      </c>
      <c r="R35" s="39"/>
    </row>
    <row r="36" spans="1:20" ht="15" customHeight="1" x14ac:dyDescent="0.3">
      <c r="A36" s="352"/>
      <c r="B36" s="133" t="s">
        <v>77</v>
      </c>
      <c r="C36" s="127">
        <v>16</v>
      </c>
      <c r="D36" s="126"/>
      <c r="E36" s="128"/>
      <c r="F36" s="141">
        <f t="shared" ref="F36" si="7">C36+D36+E36</f>
        <v>16</v>
      </c>
      <c r="G36" s="46">
        <v>45831</v>
      </c>
      <c r="H36" s="20">
        <v>45832</v>
      </c>
      <c r="I36" s="38">
        <v>45841</v>
      </c>
      <c r="J36" s="38">
        <v>45873</v>
      </c>
      <c r="K36" s="38">
        <v>45880</v>
      </c>
      <c r="L36" s="136">
        <f>(K37-G36+1)/7</f>
        <v>12.285714285714286</v>
      </c>
      <c r="M36" s="492" t="s">
        <v>78</v>
      </c>
      <c r="P36" s="76"/>
      <c r="Q36" s="39"/>
    </row>
    <row r="37" spans="1:20" ht="15" customHeight="1" x14ac:dyDescent="0.3">
      <c r="A37" s="352"/>
      <c r="B37" s="133"/>
      <c r="C37" s="127"/>
      <c r="D37" s="126"/>
      <c r="E37" s="128"/>
      <c r="F37" s="141"/>
      <c r="G37" s="22"/>
      <c r="H37" s="20">
        <v>45834</v>
      </c>
      <c r="I37" s="20">
        <v>45871</v>
      </c>
      <c r="J37" s="20">
        <v>45879</v>
      </c>
      <c r="K37" s="23">
        <v>45916</v>
      </c>
      <c r="L37" s="136"/>
      <c r="M37" s="493"/>
    </row>
    <row r="38" spans="1:20" ht="15" customHeight="1" x14ac:dyDescent="0.3">
      <c r="A38" s="352"/>
      <c r="B38" s="148"/>
      <c r="C38" s="129"/>
      <c r="D38" s="130"/>
      <c r="E38" s="131"/>
      <c r="F38" s="142"/>
      <c r="G38" s="32"/>
      <c r="H38" s="34">
        <f t="shared" ref="H38:K38" si="8">(H37-H36+1)/7</f>
        <v>0.42857142857142855</v>
      </c>
      <c r="I38" s="34">
        <f t="shared" si="8"/>
        <v>4.4285714285714288</v>
      </c>
      <c r="J38" s="189">
        <f t="shared" si="8"/>
        <v>1</v>
      </c>
      <c r="K38" s="34">
        <f t="shared" si="8"/>
        <v>5.2857142857142856</v>
      </c>
      <c r="L38" s="137"/>
      <c r="M38" s="494"/>
      <c r="P38" s="39"/>
      <c r="R38" s="39"/>
    </row>
    <row r="39" spans="1:20" ht="15" customHeight="1" x14ac:dyDescent="0.3">
      <c r="A39" s="352"/>
      <c r="B39" s="133" t="s">
        <v>79</v>
      </c>
      <c r="C39" s="127">
        <v>16</v>
      </c>
      <c r="D39" s="126"/>
      <c r="E39" s="128"/>
      <c r="F39" s="141">
        <f t="shared" ref="F39" si="9">C39+D39+E39</f>
        <v>16</v>
      </c>
      <c r="G39" s="18">
        <v>45866</v>
      </c>
      <c r="H39" s="20">
        <v>45867</v>
      </c>
      <c r="I39" s="38">
        <v>45873</v>
      </c>
      <c r="J39" s="38">
        <v>45908</v>
      </c>
      <c r="K39" s="38">
        <v>45915</v>
      </c>
      <c r="L39" s="135">
        <f>(K40-G39+1)/7</f>
        <v>12.571428571428571</v>
      </c>
      <c r="M39" s="492" t="s">
        <v>80</v>
      </c>
      <c r="O39" s="39"/>
      <c r="T39" s="39"/>
    </row>
    <row r="40" spans="1:20" ht="15" customHeight="1" x14ac:dyDescent="0.3">
      <c r="A40" s="352"/>
      <c r="B40" s="133"/>
      <c r="C40" s="127"/>
      <c r="D40" s="126"/>
      <c r="E40" s="128"/>
      <c r="F40" s="141"/>
      <c r="G40" s="22"/>
      <c r="H40" s="20">
        <v>45869</v>
      </c>
      <c r="I40" s="20">
        <v>45905</v>
      </c>
      <c r="J40" s="20">
        <v>45914</v>
      </c>
      <c r="K40" s="23">
        <v>45953</v>
      </c>
      <c r="L40" s="136"/>
      <c r="M40" s="493"/>
      <c r="O40" s="77"/>
      <c r="Q40" s="77"/>
      <c r="R40" s="77"/>
    </row>
    <row r="41" spans="1:20" ht="15" customHeight="1" x14ac:dyDescent="0.3">
      <c r="A41" s="352"/>
      <c r="B41" s="148"/>
      <c r="C41" s="129"/>
      <c r="D41" s="130"/>
      <c r="E41" s="131"/>
      <c r="F41" s="142"/>
      <c r="G41" s="32"/>
      <c r="H41" s="34">
        <f t="shared" ref="H41:K41" si="10">(H40-H39+1)/7</f>
        <v>0.42857142857142855</v>
      </c>
      <c r="I41" s="34">
        <f t="shared" si="10"/>
        <v>4.7142857142857144</v>
      </c>
      <c r="J41" s="189">
        <f t="shared" si="10"/>
        <v>1</v>
      </c>
      <c r="K41" s="34">
        <f t="shared" si="10"/>
        <v>5.5714285714285712</v>
      </c>
      <c r="L41" s="137"/>
      <c r="M41" s="494"/>
      <c r="O41" s="77">
        <v>11.1</v>
      </c>
      <c r="P41" s="77">
        <v>15.1</v>
      </c>
      <c r="Q41" s="77">
        <f t="shared" ref="Q41:Q46" si="11">O41-P41</f>
        <v>-4</v>
      </c>
      <c r="R41" s="77"/>
    </row>
    <row r="42" spans="1:20" ht="15" customHeight="1" x14ac:dyDescent="0.3">
      <c r="A42" s="352"/>
      <c r="B42" s="133" t="s">
        <v>81</v>
      </c>
      <c r="C42" s="127">
        <v>16</v>
      </c>
      <c r="D42" s="126"/>
      <c r="E42" s="128"/>
      <c r="F42" s="141">
        <f t="shared" ref="F42" si="12">C42+D42+E42</f>
        <v>16</v>
      </c>
      <c r="G42" s="18">
        <v>45901</v>
      </c>
      <c r="H42" s="20">
        <v>45902</v>
      </c>
      <c r="I42" s="38">
        <v>45908</v>
      </c>
      <c r="J42" s="38"/>
      <c r="K42" s="38">
        <v>45950</v>
      </c>
      <c r="L42" s="135">
        <f>(K43-G42+1)/7</f>
        <v>11.714285714285714</v>
      </c>
      <c r="M42" s="492" t="s">
        <v>82</v>
      </c>
      <c r="O42" s="77">
        <v>10.7</v>
      </c>
      <c r="P42" s="77">
        <v>15.1</v>
      </c>
      <c r="Q42" s="77">
        <f t="shared" si="11"/>
        <v>-4.4000000000000004</v>
      </c>
      <c r="R42" s="77"/>
    </row>
    <row r="43" spans="1:20" ht="15" customHeight="1" x14ac:dyDescent="0.3">
      <c r="A43" s="352"/>
      <c r="B43" s="133"/>
      <c r="C43" s="127"/>
      <c r="D43" s="126"/>
      <c r="E43" s="128"/>
      <c r="F43" s="141"/>
      <c r="G43" s="22"/>
      <c r="H43" s="20">
        <v>45904</v>
      </c>
      <c r="I43" s="20">
        <v>45945</v>
      </c>
      <c r="J43" s="20"/>
      <c r="K43" s="23">
        <v>45982</v>
      </c>
      <c r="L43" s="136"/>
      <c r="M43" s="493"/>
      <c r="O43" s="77">
        <v>10.3</v>
      </c>
      <c r="P43" s="77">
        <v>14.7</v>
      </c>
      <c r="Q43" s="77">
        <f t="shared" si="11"/>
        <v>-4.3999999999999986</v>
      </c>
      <c r="R43" s="77"/>
    </row>
    <row r="44" spans="1:20" ht="15" customHeight="1" x14ac:dyDescent="0.3">
      <c r="A44" s="352"/>
      <c r="B44" s="148"/>
      <c r="C44" s="129"/>
      <c r="D44" s="130"/>
      <c r="E44" s="131"/>
      <c r="F44" s="142"/>
      <c r="G44" s="32"/>
      <c r="H44" s="34">
        <f t="shared" ref="H44:K44" si="13">(H43-H42+1)/7</f>
        <v>0.42857142857142855</v>
      </c>
      <c r="I44" s="34">
        <f t="shared" si="13"/>
        <v>5.4285714285714288</v>
      </c>
      <c r="J44" s="34"/>
      <c r="K44" s="34">
        <f t="shared" si="13"/>
        <v>4.7142857142857144</v>
      </c>
      <c r="L44" s="137"/>
      <c r="M44" s="494"/>
      <c r="O44" s="77">
        <v>7.7</v>
      </c>
      <c r="P44" s="77">
        <v>10.7</v>
      </c>
      <c r="Q44" s="77">
        <f t="shared" si="11"/>
        <v>-2.9999999999999991</v>
      </c>
      <c r="R44" s="77"/>
    </row>
    <row r="45" spans="1:20" ht="15" customHeight="1" x14ac:dyDescent="0.3">
      <c r="A45" s="352"/>
      <c r="B45" s="163" t="s">
        <v>83</v>
      </c>
      <c r="C45" s="155">
        <v>16</v>
      </c>
      <c r="D45" s="156"/>
      <c r="E45" s="183">
        <v>8</v>
      </c>
      <c r="F45" s="158">
        <f t="shared" ref="F45" si="14">C45+D45+E45</f>
        <v>24</v>
      </c>
      <c r="G45" s="187">
        <v>45929</v>
      </c>
      <c r="H45" s="160">
        <v>45930</v>
      </c>
      <c r="I45" s="161">
        <v>45943</v>
      </c>
      <c r="J45" s="161"/>
      <c r="K45" s="161">
        <v>45985</v>
      </c>
      <c r="L45" s="162">
        <f>(K46-G45+1)/7</f>
        <v>15.714285714285714</v>
      </c>
      <c r="M45" s="495" t="s">
        <v>100</v>
      </c>
      <c r="O45" s="77">
        <v>9.6999999999999993</v>
      </c>
      <c r="P45" s="77">
        <v>9.6999999999999993</v>
      </c>
      <c r="Q45" s="77">
        <f t="shared" si="11"/>
        <v>0</v>
      </c>
      <c r="R45" s="77"/>
    </row>
    <row r="46" spans="1:20" ht="15" customHeight="1" x14ac:dyDescent="0.3">
      <c r="A46" s="352"/>
      <c r="B46" s="163"/>
      <c r="C46" s="155"/>
      <c r="D46" s="156"/>
      <c r="E46" s="157"/>
      <c r="F46" s="158"/>
      <c r="G46" s="164"/>
      <c r="H46" s="160">
        <v>45932</v>
      </c>
      <c r="I46" s="160">
        <v>45980</v>
      </c>
      <c r="J46" s="160"/>
      <c r="K46" s="165">
        <v>46038</v>
      </c>
      <c r="L46" s="166"/>
      <c r="M46" s="496"/>
      <c r="O46" s="77">
        <v>9.6</v>
      </c>
      <c r="P46" s="77">
        <v>9.6</v>
      </c>
      <c r="Q46" s="77">
        <f t="shared" si="11"/>
        <v>0</v>
      </c>
      <c r="R46" s="77"/>
      <c r="S46" s="72"/>
    </row>
    <row r="47" spans="1:20" ht="15" customHeight="1" x14ac:dyDescent="0.3">
      <c r="A47" s="352"/>
      <c r="B47" s="167"/>
      <c r="C47" s="168"/>
      <c r="D47" s="169"/>
      <c r="E47" s="170"/>
      <c r="F47" s="171"/>
      <c r="G47" s="172"/>
      <c r="H47" s="173">
        <f t="shared" ref="H47:K47" si="15">(H46-H45+1)/7</f>
        <v>0.42857142857142855</v>
      </c>
      <c r="I47" s="173">
        <f t="shared" si="15"/>
        <v>5.4285714285714288</v>
      </c>
      <c r="J47" s="173"/>
      <c r="K47" s="173">
        <f t="shared" si="15"/>
        <v>7.7142857142857144</v>
      </c>
      <c r="L47" s="174"/>
      <c r="M47" s="497"/>
      <c r="O47" s="77"/>
      <c r="P47" s="77"/>
      <c r="Q47" s="77"/>
      <c r="R47" s="77"/>
    </row>
    <row r="48" spans="1:20" ht="15" customHeight="1" x14ac:dyDescent="0.3">
      <c r="A48" s="352"/>
      <c r="B48" s="175" t="s">
        <v>84</v>
      </c>
      <c r="C48" s="176">
        <v>16</v>
      </c>
      <c r="D48" s="177"/>
      <c r="E48" s="178">
        <v>6</v>
      </c>
      <c r="F48" s="158">
        <f>C48+D48+E48</f>
        <v>22</v>
      </c>
      <c r="G48" s="159">
        <v>45971</v>
      </c>
      <c r="H48" s="161">
        <v>45972</v>
      </c>
      <c r="I48" s="161">
        <v>45978</v>
      </c>
      <c r="J48" s="161">
        <v>46020</v>
      </c>
      <c r="K48" s="161">
        <v>46037</v>
      </c>
      <c r="L48" s="162">
        <f>(K49-G48+1)/7</f>
        <v>15.857142857142858</v>
      </c>
      <c r="M48" s="495" t="s">
        <v>101</v>
      </c>
      <c r="O48" s="77"/>
      <c r="P48" s="77"/>
      <c r="Q48" s="77"/>
      <c r="R48" s="77"/>
    </row>
    <row r="49" spans="1:18" ht="15" customHeight="1" x14ac:dyDescent="0.3">
      <c r="A49" s="352"/>
      <c r="B49" s="179"/>
      <c r="C49" s="155"/>
      <c r="D49" s="156"/>
      <c r="E49" s="180"/>
      <c r="F49" s="158"/>
      <c r="G49" s="164"/>
      <c r="H49" s="160">
        <v>45974</v>
      </c>
      <c r="I49" s="160">
        <v>46017</v>
      </c>
      <c r="J49" s="160">
        <v>46033</v>
      </c>
      <c r="K49" s="165">
        <v>46081</v>
      </c>
      <c r="L49" s="166"/>
      <c r="M49" s="496"/>
      <c r="O49" s="77"/>
      <c r="P49" s="77"/>
      <c r="Q49" s="77"/>
      <c r="R49" s="77"/>
    </row>
    <row r="50" spans="1:18" ht="15" customHeight="1" x14ac:dyDescent="0.3">
      <c r="A50" s="352"/>
      <c r="B50" s="181"/>
      <c r="C50" s="168"/>
      <c r="D50" s="169"/>
      <c r="E50" s="182"/>
      <c r="F50" s="171"/>
      <c r="G50" s="172"/>
      <c r="H50" s="173">
        <f t="shared" ref="H50:K50" si="16">(H49-H48+1)/7</f>
        <v>0.42857142857142855</v>
      </c>
      <c r="I50" s="173">
        <f t="shared" si="16"/>
        <v>5.7142857142857144</v>
      </c>
      <c r="J50" s="188">
        <f t="shared" si="16"/>
        <v>2</v>
      </c>
      <c r="K50" s="173">
        <f t="shared" si="16"/>
        <v>6.4285714285714288</v>
      </c>
      <c r="L50" s="174"/>
      <c r="M50" s="497"/>
      <c r="O50" s="77"/>
      <c r="P50" s="77"/>
      <c r="Q50" s="77"/>
      <c r="R50" s="77"/>
    </row>
    <row r="51" spans="1:18" ht="15" customHeight="1" x14ac:dyDescent="0.3">
      <c r="A51" s="352"/>
      <c r="B51" s="163" t="s">
        <v>85</v>
      </c>
      <c r="C51" s="155">
        <v>16</v>
      </c>
      <c r="D51" s="156"/>
      <c r="E51" s="183">
        <v>5</v>
      </c>
      <c r="F51" s="158">
        <f>C51+D51+E51</f>
        <v>21</v>
      </c>
      <c r="G51" s="159">
        <v>46006</v>
      </c>
      <c r="H51" s="161">
        <v>46007</v>
      </c>
      <c r="I51" s="161">
        <v>46014</v>
      </c>
      <c r="J51" s="161">
        <v>46055</v>
      </c>
      <c r="K51" s="161">
        <v>46083</v>
      </c>
      <c r="L51" s="162">
        <f>(K52-G51+1)/7</f>
        <v>15.714285714285714</v>
      </c>
      <c r="M51" s="495" t="s">
        <v>102</v>
      </c>
      <c r="O51" s="77"/>
      <c r="P51" s="77"/>
      <c r="Q51" s="77"/>
      <c r="R51" s="77"/>
    </row>
    <row r="52" spans="1:18" ht="15" customHeight="1" x14ac:dyDescent="0.3">
      <c r="A52" s="352"/>
      <c r="B52" s="163"/>
      <c r="C52" s="155"/>
      <c r="D52" s="156"/>
      <c r="E52" s="180"/>
      <c r="F52" s="158"/>
      <c r="G52" s="164"/>
      <c r="H52" s="160">
        <v>46009</v>
      </c>
      <c r="I52" s="160">
        <v>46052</v>
      </c>
      <c r="J52" s="160">
        <v>46082</v>
      </c>
      <c r="K52" s="165">
        <v>46115</v>
      </c>
      <c r="L52" s="166"/>
      <c r="M52" s="496"/>
      <c r="O52" s="77"/>
      <c r="P52" s="77"/>
      <c r="Q52" s="77"/>
      <c r="R52" s="77"/>
    </row>
    <row r="53" spans="1:18" ht="15" customHeight="1" x14ac:dyDescent="0.3">
      <c r="A53" s="352"/>
      <c r="B53" s="181"/>
      <c r="C53" s="168"/>
      <c r="D53" s="169"/>
      <c r="E53" s="182"/>
      <c r="F53" s="171"/>
      <c r="G53" s="172"/>
      <c r="H53" s="173">
        <f t="shared" ref="H53:K53" si="17">(H52-H51+1)/7</f>
        <v>0.42857142857142855</v>
      </c>
      <c r="I53" s="173">
        <f t="shared" si="17"/>
        <v>5.5714285714285712</v>
      </c>
      <c r="J53" s="188">
        <f t="shared" si="17"/>
        <v>4</v>
      </c>
      <c r="K53" s="173">
        <f t="shared" si="17"/>
        <v>4.7142857142857144</v>
      </c>
      <c r="L53" s="174"/>
      <c r="M53" s="497"/>
      <c r="O53" s="77"/>
      <c r="P53" s="77"/>
      <c r="Q53" s="77"/>
      <c r="R53" s="77"/>
    </row>
    <row r="54" spans="1:18" ht="15" customHeight="1" x14ac:dyDescent="0.3">
      <c r="A54" s="352"/>
      <c r="B54" s="132" t="s">
        <v>86</v>
      </c>
      <c r="C54" s="127">
        <v>16</v>
      </c>
      <c r="D54" s="126"/>
      <c r="E54" s="184"/>
      <c r="F54" s="141">
        <f t="shared" ref="F54" si="18">C54+D54+E54</f>
        <v>16</v>
      </c>
      <c r="G54" s="18">
        <v>46041</v>
      </c>
      <c r="H54" s="38">
        <v>46042</v>
      </c>
      <c r="I54" s="38">
        <v>46050</v>
      </c>
      <c r="J54" s="38">
        <v>46083</v>
      </c>
      <c r="K54" s="38">
        <v>46118</v>
      </c>
      <c r="L54" s="135">
        <f>(K55-G54+1)/7</f>
        <v>14.857142857142858</v>
      </c>
      <c r="M54" s="492" t="s">
        <v>103</v>
      </c>
      <c r="O54" s="77"/>
      <c r="P54" s="77"/>
      <c r="Q54" s="77"/>
      <c r="R54" s="77"/>
    </row>
    <row r="55" spans="1:18" ht="15" customHeight="1" x14ac:dyDescent="0.3">
      <c r="A55" s="352"/>
      <c r="B55" s="133"/>
      <c r="C55" s="127"/>
      <c r="D55" s="126"/>
      <c r="E55" s="185"/>
      <c r="F55" s="141"/>
      <c r="G55" s="22"/>
      <c r="H55" s="20">
        <v>46044</v>
      </c>
      <c r="I55" s="20">
        <v>46077</v>
      </c>
      <c r="J55" s="20">
        <v>46117</v>
      </c>
      <c r="K55" s="23">
        <v>46144</v>
      </c>
      <c r="L55" s="136"/>
      <c r="M55" s="493"/>
      <c r="O55" s="77"/>
      <c r="P55" s="77"/>
      <c r="Q55" s="77"/>
      <c r="R55" s="77"/>
    </row>
    <row r="56" spans="1:18" ht="15" customHeight="1" x14ac:dyDescent="0.3">
      <c r="A56" s="352"/>
      <c r="B56" s="134"/>
      <c r="C56" s="129"/>
      <c r="D56" s="130"/>
      <c r="E56" s="186"/>
      <c r="F56" s="142"/>
      <c r="G56" s="32"/>
      <c r="H56" s="34">
        <f t="shared" ref="H56:K56" si="19">(H55-H54+1)/7</f>
        <v>0.42857142857142855</v>
      </c>
      <c r="I56" s="34">
        <f t="shared" si="19"/>
        <v>4</v>
      </c>
      <c r="J56" s="189">
        <f t="shared" si="19"/>
        <v>5</v>
      </c>
      <c r="K56" s="34">
        <f t="shared" si="19"/>
        <v>3.8571428571428572</v>
      </c>
      <c r="L56" s="137"/>
      <c r="M56" s="494"/>
      <c r="O56" s="77"/>
      <c r="P56" s="77"/>
      <c r="Q56" s="77"/>
      <c r="R56" s="77"/>
    </row>
    <row r="57" spans="1:18" ht="15" customHeight="1" x14ac:dyDescent="0.3">
      <c r="A57" s="352"/>
      <c r="B57" s="133" t="s">
        <v>87</v>
      </c>
      <c r="C57" s="127">
        <v>16</v>
      </c>
      <c r="D57" s="126"/>
      <c r="E57" s="128"/>
      <c r="F57" s="141">
        <f t="shared" ref="F57" si="20">C57+D57+E57</f>
        <v>16</v>
      </c>
      <c r="G57" s="18">
        <v>46076</v>
      </c>
      <c r="H57" s="38">
        <v>46077</v>
      </c>
      <c r="I57" s="38">
        <v>46084</v>
      </c>
      <c r="J57" s="38">
        <v>46118</v>
      </c>
      <c r="K57" s="38">
        <v>46146</v>
      </c>
      <c r="L57" s="135">
        <f>(K58-G57+1)/7</f>
        <v>14.285714285714286</v>
      </c>
      <c r="M57" s="492" t="s">
        <v>104</v>
      </c>
      <c r="O57" s="77"/>
      <c r="P57" s="77"/>
      <c r="Q57" s="77"/>
      <c r="R57" s="77"/>
    </row>
    <row r="58" spans="1:18" ht="15" customHeight="1" x14ac:dyDescent="0.3">
      <c r="A58" s="352"/>
      <c r="B58" s="133"/>
      <c r="C58" s="127"/>
      <c r="D58" s="126"/>
      <c r="E58" s="128"/>
      <c r="F58" s="141"/>
      <c r="G58" s="22"/>
      <c r="H58" s="20">
        <v>46079</v>
      </c>
      <c r="I58" s="20">
        <v>46113</v>
      </c>
      <c r="J58" s="20">
        <v>46145</v>
      </c>
      <c r="K58" s="23">
        <v>46175</v>
      </c>
      <c r="L58" s="136"/>
      <c r="M58" s="493"/>
      <c r="O58" s="77"/>
      <c r="P58" s="77"/>
      <c r="Q58" s="77"/>
      <c r="R58" s="77"/>
    </row>
    <row r="59" spans="1:18" ht="15" customHeight="1" x14ac:dyDescent="0.3">
      <c r="A59" s="352"/>
      <c r="B59" s="134"/>
      <c r="C59" s="129"/>
      <c r="D59" s="130"/>
      <c r="E59" s="131"/>
      <c r="F59" s="142"/>
      <c r="G59" s="32"/>
      <c r="H59" s="34">
        <f t="shared" ref="H59:K59" si="21">(H58-H57+1)/7</f>
        <v>0.42857142857142855</v>
      </c>
      <c r="I59" s="34">
        <f t="shared" si="21"/>
        <v>4.2857142857142856</v>
      </c>
      <c r="J59" s="189">
        <f t="shared" si="21"/>
        <v>4</v>
      </c>
      <c r="K59" s="34">
        <f t="shared" si="21"/>
        <v>4.2857142857142856</v>
      </c>
      <c r="L59" s="137"/>
      <c r="M59" s="494"/>
      <c r="O59" s="77"/>
      <c r="P59" s="77"/>
      <c r="Q59" s="77"/>
      <c r="R59" s="77"/>
    </row>
    <row r="60" spans="1:18" ht="15" customHeight="1" x14ac:dyDescent="0.3">
      <c r="A60" s="352"/>
      <c r="B60" s="133" t="s">
        <v>88</v>
      </c>
      <c r="C60" s="127">
        <v>16</v>
      </c>
      <c r="D60" s="126"/>
      <c r="E60" s="128"/>
      <c r="F60" s="141">
        <f t="shared" ref="F60" si="22">C60+D60+E60</f>
        <v>16</v>
      </c>
      <c r="G60" s="18">
        <v>46104</v>
      </c>
      <c r="H60" s="38">
        <v>46105</v>
      </c>
      <c r="I60" s="38">
        <v>46114</v>
      </c>
      <c r="J60" s="20">
        <v>46146</v>
      </c>
      <c r="K60" s="38">
        <v>46176</v>
      </c>
      <c r="L60" s="135">
        <f>(K61-G60+1)/7</f>
        <v>15.714285714285714</v>
      </c>
      <c r="M60" s="492" t="s">
        <v>105</v>
      </c>
      <c r="O60" s="77"/>
      <c r="P60" s="77"/>
      <c r="Q60" s="77"/>
      <c r="R60" s="77"/>
    </row>
    <row r="61" spans="1:18" ht="15" customHeight="1" x14ac:dyDescent="0.3">
      <c r="A61" s="352"/>
      <c r="B61" s="133"/>
      <c r="C61" s="127"/>
      <c r="D61" s="126"/>
      <c r="E61" s="128"/>
      <c r="F61" s="141"/>
      <c r="G61" s="22"/>
      <c r="H61" s="20">
        <v>46107</v>
      </c>
      <c r="I61" s="20">
        <v>46142</v>
      </c>
      <c r="J61" s="20">
        <v>46173</v>
      </c>
      <c r="K61" s="23">
        <v>46213</v>
      </c>
      <c r="L61" s="136"/>
      <c r="M61" s="493"/>
      <c r="O61" s="77"/>
      <c r="P61" s="77"/>
      <c r="Q61" s="77"/>
      <c r="R61" s="77"/>
    </row>
    <row r="62" spans="1:18" ht="15" customHeight="1" thickBot="1" x14ac:dyDescent="0.35">
      <c r="A62" s="353"/>
      <c r="B62" s="149"/>
      <c r="C62" s="150"/>
      <c r="D62" s="151"/>
      <c r="E62" s="152"/>
      <c r="F62" s="153"/>
      <c r="G62" s="52"/>
      <c r="H62" s="54">
        <f t="shared" ref="H62:K62" si="23">(H61-H60+1)/7</f>
        <v>0.42857142857142855</v>
      </c>
      <c r="I62" s="54">
        <f t="shared" si="23"/>
        <v>4.1428571428571432</v>
      </c>
      <c r="J62" s="190">
        <f t="shared" si="23"/>
        <v>4</v>
      </c>
      <c r="K62" s="54">
        <f t="shared" si="23"/>
        <v>5.4285714285714288</v>
      </c>
      <c r="L62" s="154"/>
      <c r="M62" s="498"/>
      <c r="O62" s="77"/>
      <c r="P62" s="77"/>
      <c r="Q62" s="77"/>
      <c r="R62" s="77"/>
    </row>
    <row r="63" spans="1:18" ht="24" customHeight="1" thickBot="1" x14ac:dyDescent="0.35">
      <c r="A63" s="343" t="s">
        <v>10</v>
      </c>
      <c r="B63" s="344"/>
      <c r="C63" s="112">
        <f>SUM(C33:C62)</f>
        <v>158</v>
      </c>
      <c r="D63" s="114">
        <f t="shared" ref="D63:E63" si="24">SUM(D33:D62)</f>
        <v>0</v>
      </c>
      <c r="E63" s="57">
        <f t="shared" si="24"/>
        <v>19</v>
      </c>
      <c r="F63" s="140">
        <f>SUM(C63:E63)</f>
        <v>177</v>
      </c>
      <c r="G63" s="453" t="s">
        <v>42</v>
      </c>
      <c r="H63" s="454"/>
      <c r="I63" s="454"/>
      <c r="J63" s="454"/>
      <c r="K63" s="455"/>
      <c r="L63" s="61">
        <f>AVERAGE(L33:L62)</f>
        <v>14.085714285714285</v>
      </c>
      <c r="M63" s="62" t="s">
        <v>41</v>
      </c>
    </row>
    <row r="64" spans="1:18" ht="24" customHeight="1" thickBot="1" x14ac:dyDescent="0.35">
      <c r="A64" s="345" t="s">
        <v>69</v>
      </c>
      <c r="B64" s="346"/>
      <c r="C64" s="112">
        <f>C32+C63</f>
        <v>182</v>
      </c>
      <c r="D64" s="114">
        <f t="shared" ref="D64:E64" si="25">D32+D63</f>
        <v>49</v>
      </c>
      <c r="E64" s="57">
        <f t="shared" si="25"/>
        <v>19</v>
      </c>
      <c r="F64" s="140">
        <f>SUM(C64:E64)</f>
        <v>250</v>
      </c>
      <c r="G64" s="456" t="s">
        <v>70</v>
      </c>
      <c r="H64" s="457"/>
      <c r="I64" s="457"/>
      <c r="J64" s="457"/>
      <c r="K64" s="458"/>
      <c r="L64" s="61">
        <f>AVERAGE(L32,L63)</f>
        <v>12.745238095238093</v>
      </c>
      <c r="M64" s="62" t="s">
        <v>41</v>
      </c>
    </row>
    <row r="65" spans="1:13" ht="45.75" customHeight="1" x14ac:dyDescent="0.3">
      <c r="A65" s="347" t="s">
        <v>71</v>
      </c>
      <c r="B65" s="347"/>
      <c r="C65" s="347"/>
      <c r="D65" s="347"/>
      <c r="E65" s="347"/>
      <c r="F65" s="347"/>
      <c r="G65" s="347"/>
      <c r="H65" s="347"/>
      <c r="I65" s="347"/>
      <c r="J65" s="347"/>
      <c r="K65" s="347"/>
      <c r="L65" s="347"/>
      <c r="M65" s="347"/>
    </row>
    <row r="66" spans="1:13" x14ac:dyDescent="0.3">
      <c r="H66" s="39"/>
    </row>
    <row r="67" spans="1:13" x14ac:dyDescent="0.3">
      <c r="G67" s="39"/>
      <c r="H67" s="39"/>
    </row>
    <row r="68" spans="1:13" x14ac:dyDescent="0.3">
      <c r="C68" s="39"/>
      <c r="D68" s="39"/>
      <c r="G68" s="39"/>
    </row>
  </sheetData>
  <mergeCells count="55">
    <mergeCell ref="A64:B64"/>
    <mergeCell ref="G64:K64"/>
    <mergeCell ref="A65:M65"/>
    <mergeCell ref="M51:M53"/>
    <mergeCell ref="M54:M56"/>
    <mergeCell ref="M57:M59"/>
    <mergeCell ref="M60:M62"/>
    <mergeCell ref="A63:B63"/>
    <mergeCell ref="G63:K63"/>
    <mergeCell ref="A32:B32"/>
    <mergeCell ref="G32:K32"/>
    <mergeCell ref="O32:P32"/>
    <mergeCell ref="A33:A62"/>
    <mergeCell ref="M33:M35"/>
    <mergeCell ref="M36:M38"/>
    <mergeCell ref="M39:M41"/>
    <mergeCell ref="M42:M44"/>
    <mergeCell ref="M45:M47"/>
    <mergeCell ref="M48:M50"/>
    <mergeCell ref="M11:M13"/>
    <mergeCell ref="C12:D12"/>
    <mergeCell ref="G12:L12"/>
    <mergeCell ref="A14:A31"/>
    <mergeCell ref="M14:M16"/>
    <mergeCell ref="M17:M19"/>
    <mergeCell ref="M20:M22"/>
    <mergeCell ref="M23:M25"/>
    <mergeCell ref="M26:M28"/>
    <mergeCell ref="M29:M31"/>
    <mergeCell ref="A11:A13"/>
    <mergeCell ref="B11:B13"/>
    <mergeCell ref="C11:E11"/>
    <mergeCell ref="F11:F13"/>
    <mergeCell ref="G11:L11"/>
    <mergeCell ref="A8:B8"/>
    <mergeCell ref="C8:F8"/>
    <mergeCell ref="G8:H8"/>
    <mergeCell ref="I8:M8"/>
    <mergeCell ref="A10:B10"/>
    <mergeCell ref="A5:B5"/>
    <mergeCell ref="C5:F5"/>
    <mergeCell ref="G5:H5"/>
    <mergeCell ref="I5:M7"/>
    <mergeCell ref="A6:B6"/>
    <mergeCell ref="C6:F6"/>
    <mergeCell ref="G6:H6"/>
    <mergeCell ref="A7:B7"/>
    <mergeCell ref="C7:F7"/>
    <mergeCell ref="G7:H7"/>
    <mergeCell ref="A1:M1"/>
    <mergeCell ref="A3:B3"/>
    <mergeCell ref="A4:B4"/>
    <mergeCell ref="C4:F4"/>
    <mergeCell ref="G4:H4"/>
    <mergeCell ref="I4:M4"/>
  </mergeCells>
  <phoneticPr fontId="2" type="noConversion"/>
  <printOptions horizontalCentered="1"/>
  <pageMargins left="0.31496062992125984" right="0.31496062992125984" top="0.74803149606299213" bottom="0.39370078740157483" header="0.31496062992125984" footer="0.31496062992125984"/>
  <pageSetup paperSize="9" scale="61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B9043-91ED-4A59-9FAC-13ACED23F958}">
  <sheetPr>
    <pageSetUpPr fitToPage="1"/>
  </sheetPr>
  <dimension ref="A1:S68"/>
  <sheetViews>
    <sheetView showGridLines="0" workbookViewId="0">
      <selection activeCell="G56" sqref="G56"/>
    </sheetView>
  </sheetViews>
  <sheetFormatPr defaultColWidth="9" defaultRowHeight="16.5" x14ac:dyDescent="0.3"/>
  <cols>
    <col min="1" max="1" width="10.5" style="5" customWidth="1"/>
    <col min="2" max="2" width="12.125" style="5" customWidth="1"/>
    <col min="3" max="6" width="6.375" style="5" customWidth="1"/>
    <col min="7" max="12" width="11.625" style="5" customWidth="1"/>
    <col min="13" max="13" width="16.25" style="100" customWidth="1"/>
    <col min="14" max="14" width="5.625" style="5" customWidth="1"/>
    <col min="15" max="15" width="15.625" style="5" hidden="1" customWidth="1"/>
    <col min="16" max="17" width="11.75" style="5" hidden="1" customWidth="1"/>
    <col min="18" max="23" width="8.75" style="5" customWidth="1"/>
    <col min="24" max="16384" width="9" style="5"/>
  </cols>
  <sheetData>
    <row r="1" spans="1:19" s="1" customFormat="1" ht="39" customHeight="1" x14ac:dyDescent="0.3">
      <c r="A1" s="471" t="s">
        <v>72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</row>
    <row r="2" spans="1:19" ht="22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>
        <v>45793</v>
      </c>
    </row>
    <row r="3" spans="1:19" ht="24" customHeight="1" x14ac:dyDescent="0.3">
      <c r="A3" s="418" t="s">
        <v>0</v>
      </c>
      <c r="B3" s="419"/>
      <c r="C3" s="2"/>
      <c r="D3" s="2"/>
      <c r="E3" s="2"/>
      <c r="F3" s="2"/>
      <c r="G3" s="6"/>
      <c r="H3" s="6"/>
      <c r="I3" s="6"/>
      <c r="J3" s="6"/>
      <c r="K3" s="6"/>
      <c r="L3" s="6"/>
      <c r="M3" s="7"/>
    </row>
    <row r="4" spans="1:19" ht="35.25" customHeight="1" thickBot="1" x14ac:dyDescent="0.35">
      <c r="A4" s="420" t="s">
        <v>1</v>
      </c>
      <c r="B4" s="421"/>
      <c r="C4" s="422" t="s">
        <v>94</v>
      </c>
      <c r="D4" s="423"/>
      <c r="E4" s="424"/>
      <c r="F4" s="420"/>
      <c r="G4" s="422" t="s">
        <v>95</v>
      </c>
      <c r="H4" s="420"/>
      <c r="I4" s="426" t="s">
        <v>5</v>
      </c>
      <c r="J4" s="424"/>
      <c r="K4" s="424"/>
      <c r="L4" s="424"/>
      <c r="M4" s="424"/>
    </row>
    <row r="5" spans="1:19" ht="24" customHeight="1" x14ac:dyDescent="0.3">
      <c r="A5" s="427" t="s">
        <v>8</v>
      </c>
      <c r="B5" s="428"/>
      <c r="C5" s="429"/>
      <c r="D5" s="430"/>
      <c r="E5" s="430"/>
      <c r="F5" s="431"/>
      <c r="G5" s="429"/>
      <c r="H5" s="431"/>
      <c r="I5" s="434" t="s">
        <v>112</v>
      </c>
      <c r="J5" s="435"/>
      <c r="K5" s="466"/>
      <c r="L5" s="466"/>
      <c r="M5" s="466"/>
    </row>
    <row r="6" spans="1:19" ht="24" customHeight="1" x14ac:dyDescent="0.3">
      <c r="A6" s="440" t="s">
        <v>9</v>
      </c>
      <c r="B6" s="441"/>
      <c r="C6" s="442">
        <f>SUM(F20:F29,F33:F53)</f>
        <v>170</v>
      </c>
      <c r="D6" s="443"/>
      <c r="E6" s="443"/>
      <c r="F6" s="444"/>
      <c r="G6" s="442"/>
      <c r="H6" s="444"/>
      <c r="I6" s="467"/>
      <c r="J6" s="468"/>
      <c r="K6" s="468"/>
      <c r="L6" s="468"/>
      <c r="M6" s="468"/>
    </row>
    <row r="7" spans="1:19" ht="24" customHeight="1" thickBot="1" x14ac:dyDescent="0.35">
      <c r="A7" s="445" t="s">
        <v>73</v>
      </c>
      <c r="B7" s="446"/>
      <c r="C7" s="392"/>
      <c r="D7" s="447"/>
      <c r="E7" s="447"/>
      <c r="F7" s="393"/>
      <c r="G7" s="392">
        <f>SUM(F45:F62)</f>
        <v>115</v>
      </c>
      <c r="H7" s="393"/>
      <c r="I7" s="469"/>
      <c r="J7" s="470"/>
      <c r="K7" s="470"/>
      <c r="L7" s="470"/>
      <c r="M7" s="470"/>
    </row>
    <row r="8" spans="1:19" ht="24" customHeight="1" x14ac:dyDescent="0.3">
      <c r="A8" s="407" t="s">
        <v>10</v>
      </c>
      <c r="B8" s="408"/>
      <c r="C8" s="409">
        <f>SUM(C5:F7)</f>
        <v>170</v>
      </c>
      <c r="D8" s="410"/>
      <c r="E8" s="410"/>
      <c r="F8" s="411"/>
      <c r="G8" s="409">
        <f>G7</f>
        <v>115</v>
      </c>
      <c r="H8" s="411"/>
      <c r="I8" s="412"/>
      <c r="J8" s="414"/>
      <c r="K8" s="414"/>
      <c r="L8" s="414"/>
      <c r="M8" s="414"/>
    </row>
    <row r="9" spans="1:19" ht="12" customHeight="1" x14ac:dyDescent="0.3">
      <c r="A9" s="8"/>
      <c r="B9" s="8"/>
      <c r="C9" s="8"/>
      <c r="D9" s="8"/>
      <c r="E9" s="8"/>
      <c r="F9" s="8"/>
      <c r="G9" s="125"/>
      <c r="H9" s="8"/>
      <c r="I9" s="8"/>
      <c r="J9" s="8"/>
      <c r="K9" s="8"/>
      <c r="L9" s="8"/>
      <c r="M9" s="8"/>
      <c r="R9" s="39"/>
    </row>
    <row r="10" spans="1:19" ht="29.25" customHeight="1" thickBot="1" x14ac:dyDescent="0.35">
      <c r="A10" s="415" t="s">
        <v>11</v>
      </c>
      <c r="B10" s="416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9" ht="36" customHeight="1" x14ac:dyDescent="0.3">
      <c r="A11" s="394" t="s">
        <v>12</v>
      </c>
      <c r="B11" s="397" t="s">
        <v>13</v>
      </c>
      <c r="C11" s="399" t="s">
        <v>14</v>
      </c>
      <c r="D11" s="399"/>
      <c r="E11" s="400"/>
      <c r="F11" s="401" t="s">
        <v>15</v>
      </c>
      <c r="G11" s="404" t="s">
        <v>18</v>
      </c>
      <c r="H11" s="405"/>
      <c r="I11" s="405"/>
      <c r="J11" s="405"/>
      <c r="K11" s="405"/>
      <c r="L11" s="406"/>
      <c r="M11" s="460" t="s">
        <v>19</v>
      </c>
    </row>
    <row r="12" spans="1:19" ht="22.5" customHeight="1" x14ac:dyDescent="0.3">
      <c r="A12" s="395"/>
      <c r="B12" s="398"/>
      <c r="C12" s="463" t="s">
        <v>96</v>
      </c>
      <c r="D12" s="464"/>
      <c r="E12" s="113" t="s">
        <v>97</v>
      </c>
      <c r="F12" s="402"/>
      <c r="G12" s="465" t="s">
        <v>110</v>
      </c>
      <c r="H12" s="382"/>
      <c r="I12" s="382"/>
      <c r="J12" s="382"/>
      <c r="K12" s="382"/>
      <c r="L12" s="383"/>
      <c r="M12" s="461"/>
    </row>
    <row r="13" spans="1:19" ht="35.25" customHeight="1" thickBot="1" x14ac:dyDescent="0.35">
      <c r="A13" s="396"/>
      <c r="B13" s="385"/>
      <c r="C13" s="107" t="s">
        <v>98</v>
      </c>
      <c r="D13" s="104" t="s">
        <v>99</v>
      </c>
      <c r="E13" s="104" t="s">
        <v>98</v>
      </c>
      <c r="F13" s="403"/>
      <c r="G13" s="9" t="s">
        <v>23</v>
      </c>
      <c r="H13" s="10" t="s">
        <v>24</v>
      </c>
      <c r="I13" s="10" t="s">
        <v>25</v>
      </c>
      <c r="J13" s="10" t="s">
        <v>111</v>
      </c>
      <c r="K13" s="11" t="s">
        <v>26</v>
      </c>
      <c r="L13" s="12" t="s">
        <v>27</v>
      </c>
      <c r="M13" s="462"/>
    </row>
    <row r="14" spans="1:19" ht="16.5" customHeight="1" x14ac:dyDescent="0.3">
      <c r="A14" s="351" t="s">
        <v>44</v>
      </c>
      <c r="B14" s="13" t="s">
        <v>58</v>
      </c>
      <c r="C14" s="108">
        <v>13</v>
      </c>
      <c r="D14" s="15">
        <v>3</v>
      </c>
      <c r="E14" s="14"/>
      <c r="F14" s="138">
        <f>C14+D14+E14</f>
        <v>16</v>
      </c>
      <c r="G14" s="117">
        <v>45600</v>
      </c>
      <c r="H14" s="19">
        <v>45601</v>
      </c>
      <c r="I14" s="37">
        <v>45608</v>
      </c>
      <c r="J14" s="37"/>
      <c r="K14" s="37">
        <v>45643</v>
      </c>
      <c r="L14" s="21">
        <f>(K15-G14+1)/7</f>
        <v>11.714285714285714</v>
      </c>
      <c r="M14" s="473" t="s">
        <v>59</v>
      </c>
    </row>
    <row r="15" spans="1:19" ht="16.5" customHeight="1" x14ac:dyDescent="0.3">
      <c r="A15" s="352"/>
      <c r="B15" s="13"/>
      <c r="C15" s="108"/>
      <c r="D15" s="15"/>
      <c r="E15" s="14"/>
      <c r="F15" s="138"/>
      <c r="G15" s="101"/>
      <c r="H15" s="19">
        <v>45603</v>
      </c>
      <c r="I15" s="19">
        <v>45643</v>
      </c>
      <c r="J15" s="19"/>
      <c r="K15" s="120">
        <v>45681</v>
      </c>
      <c r="L15" s="24"/>
      <c r="M15" s="474"/>
      <c r="S15" s="26"/>
    </row>
    <row r="16" spans="1:19" ht="16.5" customHeight="1" x14ac:dyDescent="0.3">
      <c r="A16" s="352"/>
      <c r="B16" s="27"/>
      <c r="C16" s="109"/>
      <c r="D16" s="29"/>
      <c r="E16" s="28"/>
      <c r="F16" s="139"/>
      <c r="G16" s="102"/>
      <c r="H16" s="33">
        <f t="shared" ref="H16" si="0">(H15-H14+1)/7</f>
        <v>0.42857142857142855</v>
      </c>
      <c r="I16" s="33">
        <f>(I15-I14+1)/7</f>
        <v>5.1428571428571432</v>
      </c>
      <c r="J16" s="33"/>
      <c r="K16" s="33">
        <f>(K15-K14+1)/7</f>
        <v>5.5714285714285712</v>
      </c>
      <c r="L16" s="35"/>
      <c r="M16" s="475"/>
    </row>
    <row r="17" spans="1:19" ht="16.5" customHeight="1" x14ac:dyDescent="0.3">
      <c r="A17" s="352"/>
      <c r="B17" s="41" t="s">
        <v>60</v>
      </c>
      <c r="C17" s="110">
        <v>7</v>
      </c>
      <c r="D17" s="43">
        <v>9</v>
      </c>
      <c r="E17" s="42"/>
      <c r="F17" s="138">
        <f t="shared" ref="F17" si="1">C17+D17+E17</f>
        <v>16</v>
      </c>
      <c r="G17" s="117">
        <v>45635</v>
      </c>
      <c r="H17" s="19">
        <v>45636</v>
      </c>
      <c r="I17" s="37">
        <v>45642</v>
      </c>
      <c r="J17" s="37"/>
      <c r="K17" s="37">
        <v>45691</v>
      </c>
      <c r="L17" s="21">
        <f>(K18-G17+1)/7</f>
        <v>13.285714285714286</v>
      </c>
      <c r="M17" s="476" t="s">
        <v>61</v>
      </c>
      <c r="O17" s="26"/>
      <c r="R17" s="39"/>
      <c r="S17" s="39"/>
    </row>
    <row r="18" spans="1:19" ht="16.5" customHeight="1" x14ac:dyDescent="0.3">
      <c r="A18" s="352"/>
      <c r="B18" s="13"/>
      <c r="C18" s="108"/>
      <c r="D18" s="15"/>
      <c r="E18" s="14"/>
      <c r="F18" s="138"/>
      <c r="G18" s="118"/>
      <c r="H18" s="19">
        <v>45638</v>
      </c>
      <c r="I18" s="19">
        <v>45681</v>
      </c>
      <c r="J18" s="19"/>
      <c r="K18" s="120">
        <v>45727</v>
      </c>
      <c r="L18" s="24"/>
      <c r="M18" s="474"/>
      <c r="R18" s="39"/>
    </row>
    <row r="19" spans="1:19" ht="16.5" customHeight="1" x14ac:dyDescent="0.3">
      <c r="A19" s="352"/>
      <c r="B19" s="27"/>
      <c r="C19" s="109"/>
      <c r="D19" s="29"/>
      <c r="E19" s="28"/>
      <c r="F19" s="139"/>
      <c r="G19" s="119"/>
      <c r="H19" s="33">
        <f>(H18-H17+1)/7</f>
        <v>0.42857142857142855</v>
      </c>
      <c r="I19" s="33">
        <f>(I18-I17+1)/7</f>
        <v>5.7142857142857144</v>
      </c>
      <c r="J19" s="33"/>
      <c r="K19" s="33">
        <f>(K18-K17+1)/7</f>
        <v>5.2857142857142856</v>
      </c>
      <c r="L19" s="35"/>
      <c r="M19" s="475"/>
    </row>
    <row r="20" spans="1:19" ht="16.5" customHeight="1" x14ac:dyDescent="0.3">
      <c r="A20" s="352"/>
      <c r="B20" s="13" t="s">
        <v>62</v>
      </c>
      <c r="C20" s="108"/>
      <c r="D20" s="15">
        <v>12</v>
      </c>
      <c r="E20" s="14"/>
      <c r="F20" s="138">
        <f t="shared" ref="F20" si="2">C20+D20+E20</f>
        <v>12</v>
      </c>
      <c r="G20" s="106">
        <v>45677</v>
      </c>
      <c r="H20" s="19">
        <v>45678</v>
      </c>
      <c r="I20" s="19">
        <v>45691</v>
      </c>
      <c r="J20" s="19"/>
      <c r="K20" s="19">
        <v>45728</v>
      </c>
      <c r="L20" s="24">
        <f>(K21-G20+1)/7</f>
        <v>10.142857142857142</v>
      </c>
      <c r="M20" s="477" t="s">
        <v>109</v>
      </c>
      <c r="O20" s="26"/>
      <c r="R20" s="39"/>
    </row>
    <row r="21" spans="1:19" ht="16.5" customHeight="1" x14ac:dyDescent="0.3">
      <c r="A21" s="352"/>
      <c r="B21" s="13"/>
      <c r="C21" s="108"/>
      <c r="D21" s="15"/>
      <c r="E21" s="14"/>
      <c r="F21" s="138"/>
      <c r="G21" s="118"/>
      <c r="H21" s="19">
        <v>45680</v>
      </c>
      <c r="I21" s="19">
        <v>45720</v>
      </c>
      <c r="J21" s="19"/>
      <c r="K21" s="120">
        <v>45747</v>
      </c>
      <c r="L21" s="24"/>
      <c r="M21" s="474"/>
    </row>
    <row r="22" spans="1:19" ht="16.5" customHeight="1" x14ac:dyDescent="0.3">
      <c r="A22" s="352"/>
      <c r="B22" s="27"/>
      <c r="C22" s="109"/>
      <c r="D22" s="29"/>
      <c r="E22" s="28"/>
      <c r="F22" s="139"/>
      <c r="G22" s="119"/>
      <c r="H22" s="33">
        <f>(H21-H20+1)/7</f>
        <v>0.42857142857142855</v>
      </c>
      <c r="I22" s="33">
        <f>(I21-I20+1)/7</f>
        <v>4.2857142857142856</v>
      </c>
      <c r="J22" s="33"/>
      <c r="K22" s="33">
        <f>(K21-K20+1)/7</f>
        <v>2.8571428571428572</v>
      </c>
      <c r="L22" s="35"/>
      <c r="M22" s="475"/>
    </row>
    <row r="23" spans="1:19" ht="16.5" customHeight="1" x14ac:dyDescent="0.3">
      <c r="A23" s="352"/>
      <c r="B23" s="41" t="s">
        <v>64</v>
      </c>
      <c r="C23" s="110"/>
      <c r="D23" s="43">
        <v>9</v>
      </c>
      <c r="E23" s="42"/>
      <c r="F23" s="138">
        <f t="shared" ref="F23" si="3">C23+D23+E23</f>
        <v>9</v>
      </c>
      <c r="G23" s="117">
        <v>45712</v>
      </c>
      <c r="H23" s="37">
        <v>45713</v>
      </c>
      <c r="I23" s="37">
        <v>45721</v>
      </c>
      <c r="J23" s="37"/>
      <c r="K23" s="37">
        <v>45749</v>
      </c>
      <c r="L23" s="21">
        <f>(K24-G23+1)/7</f>
        <v>9.2857142857142865</v>
      </c>
      <c r="M23" s="473" t="s">
        <v>106</v>
      </c>
      <c r="O23" s="26"/>
    </row>
    <row r="24" spans="1:19" ht="16.5" customHeight="1" x14ac:dyDescent="0.3">
      <c r="A24" s="352"/>
      <c r="B24" s="13"/>
      <c r="C24" s="108"/>
      <c r="D24" s="15"/>
      <c r="E24" s="14"/>
      <c r="F24" s="138"/>
      <c r="G24" s="118"/>
      <c r="H24" s="19">
        <v>45715</v>
      </c>
      <c r="I24" s="19">
        <v>45754</v>
      </c>
      <c r="J24" s="19"/>
      <c r="K24" s="120">
        <v>45776</v>
      </c>
      <c r="L24" s="24"/>
      <c r="M24" s="474"/>
    </row>
    <row r="25" spans="1:19" ht="16.5" customHeight="1" x14ac:dyDescent="0.3">
      <c r="A25" s="352"/>
      <c r="B25" s="27"/>
      <c r="C25" s="109"/>
      <c r="D25" s="29"/>
      <c r="E25" s="28"/>
      <c r="F25" s="139"/>
      <c r="G25" s="119"/>
      <c r="H25" s="33">
        <f>(H24-H23+1)/7</f>
        <v>0.42857142857142855</v>
      </c>
      <c r="I25" s="33">
        <f>(I24-I23+1)/7</f>
        <v>4.8571428571428568</v>
      </c>
      <c r="J25" s="33"/>
      <c r="K25" s="33">
        <f>(K24-K23+1)/7</f>
        <v>4</v>
      </c>
      <c r="L25" s="35"/>
      <c r="M25" s="475"/>
    </row>
    <row r="26" spans="1:19" ht="16.5" customHeight="1" x14ac:dyDescent="0.3">
      <c r="A26" s="352"/>
      <c r="B26" s="41" t="s">
        <v>66</v>
      </c>
      <c r="C26" s="110">
        <v>4</v>
      </c>
      <c r="D26" s="43"/>
      <c r="E26" s="42"/>
      <c r="F26" s="138">
        <f t="shared" ref="F26" si="4">C26+D26+E26</f>
        <v>4</v>
      </c>
      <c r="G26" s="117">
        <v>45726</v>
      </c>
      <c r="H26" s="37">
        <v>45727</v>
      </c>
      <c r="I26" s="37">
        <v>45733</v>
      </c>
      <c r="J26" s="37">
        <v>45768</v>
      </c>
      <c r="K26" s="83">
        <v>45784</v>
      </c>
      <c r="L26" s="121">
        <f>(K27-G26+1)/7</f>
        <v>10.285714285714286</v>
      </c>
      <c r="M26" s="500" t="s">
        <v>107</v>
      </c>
    </row>
    <row r="27" spans="1:19" ht="16.5" customHeight="1" x14ac:dyDescent="0.3">
      <c r="A27" s="352"/>
      <c r="B27" s="13"/>
      <c r="C27" s="108"/>
      <c r="D27" s="15"/>
      <c r="E27" s="14"/>
      <c r="F27" s="138"/>
      <c r="G27" s="101"/>
      <c r="H27" s="19">
        <v>45729</v>
      </c>
      <c r="I27" s="19">
        <v>45763</v>
      </c>
      <c r="J27" s="19">
        <v>45781</v>
      </c>
      <c r="K27" s="85">
        <v>45797</v>
      </c>
      <c r="L27" s="122"/>
      <c r="M27" s="501"/>
    </row>
    <row r="28" spans="1:19" ht="16.5" customHeight="1" x14ac:dyDescent="0.3">
      <c r="A28" s="352"/>
      <c r="B28" s="27"/>
      <c r="C28" s="109"/>
      <c r="D28" s="29"/>
      <c r="E28" s="28"/>
      <c r="F28" s="139"/>
      <c r="G28" s="102"/>
      <c r="H28" s="33">
        <f>(H27-H26+1)/7</f>
        <v>0.42857142857142855</v>
      </c>
      <c r="I28" s="33">
        <f>(I27-I26+1)/7</f>
        <v>4.4285714285714288</v>
      </c>
      <c r="J28" s="33">
        <f t="shared" ref="J28" si="5">(J27-J26+1)/7</f>
        <v>2</v>
      </c>
      <c r="K28" s="87">
        <f>(K27-K26+1)/7</f>
        <v>2</v>
      </c>
      <c r="L28" s="123"/>
      <c r="M28" s="502"/>
    </row>
    <row r="29" spans="1:19" ht="16.5" customHeight="1" x14ac:dyDescent="0.3">
      <c r="A29" s="352"/>
      <c r="B29" s="41" t="s">
        <v>67</v>
      </c>
      <c r="C29" s="110"/>
      <c r="D29" s="43">
        <v>16</v>
      </c>
      <c r="E29" s="42"/>
      <c r="F29" s="138">
        <f t="shared" ref="F29" si="6">C29+D29+E29</f>
        <v>16</v>
      </c>
      <c r="G29" s="117">
        <v>45747</v>
      </c>
      <c r="H29" s="37">
        <v>45748</v>
      </c>
      <c r="I29" s="38">
        <v>45756</v>
      </c>
      <c r="J29" s="38"/>
      <c r="K29" s="83">
        <v>45803</v>
      </c>
      <c r="L29" s="121">
        <f>(K30-G29+1)/7</f>
        <v>13.714285714285714</v>
      </c>
      <c r="M29" s="500" t="s">
        <v>108</v>
      </c>
      <c r="O29" s="26"/>
    </row>
    <row r="30" spans="1:19" ht="16.5" customHeight="1" x14ac:dyDescent="0.3">
      <c r="A30" s="352"/>
      <c r="B30" s="13"/>
      <c r="C30" s="108"/>
      <c r="D30" s="15"/>
      <c r="E30" s="14"/>
      <c r="F30" s="138"/>
      <c r="G30" s="101"/>
      <c r="H30" s="19">
        <v>45750</v>
      </c>
      <c r="I30" s="115">
        <v>45803</v>
      </c>
      <c r="J30" s="115"/>
      <c r="K30" s="85">
        <v>45842</v>
      </c>
      <c r="L30" s="122"/>
      <c r="M30" s="501"/>
    </row>
    <row r="31" spans="1:19" ht="16.5" customHeight="1" thickBot="1" x14ac:dyDescent="0.35">
      <c r="A31" s="353"/>
      <c r="B31" s="47"/>
      <c r="C31" s="111"/>
      <c r="D31" s="49"/>
      <c r="E31" s="48"/>
      <c r="F31" s="105"/>
      <c r="G31" s="103"/>
      <c r="H31" s="53">
        <f>(H30-H29+1)/7</f>
        <v>0.42857142857142855</v>
      </c>
      <c r="I31" s="116">
        <f>(I30-I29+1)/7</f>
        <v>6.8571428571428568</v>
      </c>
      <c r="J31" s="116"/>
      <c r="K31" s="98">
        <f>(K30-K29+1)/7</f>
        <v>5.7142857142857144</v>
      </c>
      <c r="L31" s="124"/>
      <c r="M31" s="503"/>
      <c r="Q31" s="39"/>
    </row>
    <row r="32" spans="1:19" ht="24" customHeight="1" thickBot="1" x14ac:dyDescent="0.35">
      <c r="A32" s="343" t="s">
        <v>10</v>
      </c>
      <c r="B32" s="344"/>
      <c r="C32" s="112">
        <f>SUM(C14:C31)</f>
        <v>24</v>
      </c>
      <c r="D32" s="58">
        <f>SUM(D14:D31)</f>
        <v>49</v>
      </c>
      <c r="E32" s="57">
        <f>SUM(E14:E31)</f>
        <v>0</v>
      </c>
      <c r="F32" s="140">
        <f>SUM(C32:E32)</f>
        <v>73</v>
      </c>
      <c r="G32" s="480" t="s">
        <v>42</v>
      </c>
      <c r="H32" s="481"/>
      <c r="I32" s="481"/>
      <c r="J32" s="481"/>
      <c r="K32" s="482"/>
      <c r="L32" s="61">
        <f>AVERAGE(L14:L31)</f>
        <v>11.404761904761903</v>
      </c>
      <c r="M32" s="62" t="s">
        <v>41</v>
      </c>
      <c r="O32" s="350" t="s">
        <v>43</v>
      </c>
      <c r="P32" s="350"/>
    </row>
    <row r="33" spans="1:19" ht="15" customHeight="1" x14ac:dyDescent="0.3">
      <c r="A33" s="351" t="s">
        <v>74</v>
      </c>
      <c r="B33" s="143" t="s">
        <v>75</v>
      </c>
      <c r="C33" s="144">
        <v>14</v>
      </c>
      <c r="D33" s="145"/>
      <c r="E33" s="146"/>
      <c r="F33" s="141">
        <f>C33+D33+E33</f>
        <v>14</v>
      </c>
      <c r="G33" s="67">
        <v>45796</v>
      </c>
      <c r="H33" s="69">
        <v>45797</v>
      </c>
      <c r="I33" s="69">
        <v>45803</v>
      </c>
      <c r="J33" s="69"/>
      <c r="K33" s="69">
        <v>45845</v>
      </c>
      <c r="L33" s="147">
        <f>(K34-G33+1)/7</f>
        <v>12.142857142857142</v>
      </c>
      <c r="M33" s="499" t="s">
        <v>76</v>
      </c>
      <c r="N33" s="71"/>
      <c r="O33" s="5" t="s">
        <v>47</v>
      </c>
      <c r="P33" s="72" t="e">
        <f>AVERAGE(H35,H38,H41,H44,H47,H62,#REF!,#REF!,#REF!,#REF!)</f>
        <v>#REF!</v>
      </c>
      <c r="Q33" s="5">
        <v>1</v>
      </c>
    </row>
    <row r="34" spans="1:19" ht="15" customHeight="1" x14ac:dyDescent="0.3">
      <c r="A34" s="352"/>
      <c r="B34" s="133"/>
      <c r="C34" s="127"/>
      <c r="D34" s="126"/>
      <c r="E34" s="128"/>
      <c r="F34" s="141"/>
      <c r="G34" s="22"/>
      <c r="H34" s="20">
        <v>45799</v>
      </c>
      <c r="I34" s="20">
        <v>45842</v>
      </c>
      <c r="J34" s="20"/>
      <c r="K34" s="23">
        <v>45880</v>
      </c>
      <c r="L34" s="136"/>
      <c r="M34" s="493"/>
      <c r="N34" s="71"/>
      <c r="O34" s="5" t="s">
        <v>48</v>
      </c>
      <c r="P34" s="72" t="e">
        <f>AVERAGE(I35,I38,I41,I44,I47,I62,#REF!,#REF!,#REF!,#REF!)</f>
        <v>#REF!</v>
      </c>
      <c r="Q34" s="5">
        <v>6</v>
      </c>
    </row>
    <row r="35" spans="1:19" ht="15" customHeight="1" x14ac:dyDescent="0.3">
      <c r="A35" s="352"/>
      <c r="B35" s="148"/>
      <c r="C35" s="129"/>
      <c r="D35" s="130"/>
      <c r="E35" s="131"/>
      <c r="F35" s="142"/>
      <c r="G35" s="32"/>
      <c r="H35" s="34">
        <f>(H34-H33+1)/7</f>
        <v>0.42857142857142855</v>
      </c>
      <c r="I35" s="34">
        <f>(I34-I33+1)/7</f>
        <v>5.7142857142857144</v>
      </c>
      <c r="J35" s="34"/>
      <c r="K35" s="34">
        <f>(K34-K33+1)/7</f>
        <v>5.1428571428571432</v>
      </c>
      <c r="L35" s="137"/>
      <c r="M35" s="494"/>
      <c r="N35" s="71"/>
      <c r="O35" s="5" t="s">
        <v>49</v>
      </c>
      <c r="P35" s="72" t="e">
        <f>AVERAGE(K35,K38,K41,K44,K47,K62,#REF!,#REF!,#REF!,#REF!)</f>
        <v>#REF!</v>
      </c>
      <c r="Q35" s="5">
        <v>5</v>
      </c>
      <c r="R35" s="39"/>
    </row>
    <row r="36" spans="1:19" ht="15" customHeight="1" x14ac:dyDescent="0.3">
      <c r="A36" s="352"/>
      <c r="B36" s="133" t="s">
        <v>77</v>
      </c>
      <c r="C36" s="127">
        <v>16</v>
      </c>
      <c r="D36" s="126"/>
      <c r="E36" s="128"/>
      <c r="F36" s="141">
        <f t="shared" ref="F36" si="7">C36+D36+E36</f>
        <v>16</v>
      </c>
      <c r="G36" s="46">
        <v>45831</v>
      </c>
      <c r="H36" s="20">
        <v>45832</v>
      </c>
      <c r="I36" s="38">
        <v>45841</v>
      </c>
      <c r="J36" s="38">
        <v>45873</v>
      </c>
      <c r="K36" s="38">
        <v>45880</v>
      </c>
      <c r="L36" s="136">
        <f>(K37-G36+1)/7</f>
        <v>12.285714285714286</v>
      </c>
      <c r="M36" s="492" t="s">
        <v>78</v>
      </c>
      <c r="P36" s="76"/>
      <c r="Q36" s="39"/>
    </row>
    <row r="37" spans="1:19" ht="15" customHeight="1" x14ac:dyDescent="0.3">
      <c r="A37" s="352"/>
      <c r="B37" s="133"/>
      <c r="C37" s="127"/>
      <c r="D37" s="126"/>
      <c r="E37" s="128"/>
      <c r="F37" s="141"/>
      <c r="G37" s="22"/>
      <c r="H37" s="20">
        <v>45834</v>
      </c>
      <c r="I37" s="20">
        <v>45871</v>
      </c>
      <c r="J37" s="20">
        <v>45879</v>
      </c>
      <c r="K37" s="23">
        <v>45916</v>
      </c>
      <c r="L37" s="136"/>
      <c r="M37" s="493"/>
    </row>
    <row r="38" spans="1:19" ht="15" customHeight="1" x14ac:dyDescent="0.3">
      <c r="A38" s="352"/>
      <c r="B38" s="148"/>
      <c r="C38" s="129"/>
      <c r="D38" s="130"/>
      <c r="E38" s="131"/>
      <c r="F38" s="142"/>
      <c r="G38" s="32"/>
      <c r="H38" s="34">
        <f t="shared" ref="H38:K38" si="8">(H37-H36+1)/7</f>
        <v>0.42857142857142855</v>
      </c>
      <c r="I38" s="34">
        <f t="shared" si="8"/>
        <v>4.4285714285714288</v>
      </c>
      <c r="J38" s="34">
        <f t="shared" si="8"/>
        <v>1</v>
      </c>
      <c r="K38" s="34">
        <f t="shared" si="8"/>
        <v>5.2857142857142856</v>
      </c>
      <c r="L38" s="137"/>
      <c r="M38" s="494"/>
      <c r="P38" s="39"/>
      <c r="R38" s="39"/>
    </row>
    <row r="39" spans="1:19" ht="15" customHeight="1" x14ac:dyDescent="0.3">
      <c r="A39" s="352"/>
      <c r="B39" s="133" t="s">
        <v>79</v>
      </c>
      <c r="C39" s="127">
        <v>16</v>
      </c>
      <c r="D39" s="126"/>
      <c r="E39" s="128"/>
      <c r="F39" s="141">
        <f t="shared" ref="F39" si="9">C39+D39+E39</f>
        <v>16</v>
      </c>
      <c r="G39" s="18">
        <v>45866</v>
      </c>
      <c r="H39" s="20">
        <v>45867</v>
      </c>
      <c r="I39" s="38">
        <v>45873</v>
      </c>
      <c r="J39" s="38">
        <v>45908</v>
      </c>
      <c r="K39" s="38">
        <v>45915</v>
      </c>
      <c r="L39" s="135">
        <f>(K40-G39+1)/7</f>
        <v>12.571428571428571</v>
      </c>
      <c r="M39" s="492" t="s">
        <v>80</v>
      </c>
      <c r="O39" s="39"/>
    </row>
    <row r="40" spans="1:19" ht="15" customHeight="1" x14ac:dyDescent="0.3">
      <c r="A40" s="352"/>
      <c r="B40" s="133"/>
      <c r="C40" s="127"/>
      <c r="D40" s="126"/>
      <c r="E40" s="128"/>
      <c r="F40" s="141"/>
      <c r="G40" s="22"/>
      <c r="H40" s="20">
        <v>45869</v>
      </c>
      <c r="I40" s="20">
        <v>45905</v>
      </c>
      <c r="J40" s="20">
        <v>45914</v>
      </c>
      <c r="K40" s="23">
        <v>45953</v>
      </c>
      <c r="L40" s="136"/>
      <c r="M40" s="493"/>
      <c r="O40" s="77"/>
      <c r="Q40" s="77"/>
      <c r="R40" s="77"/>
    </row>
    <row r="41" spans="1:19" ht="15" customHeight="1" x14ac:dyDescent="0.3">
      <c r="A41" s="352"/>
      <c r="B41" s="148"/>
      <c r="C41" s="129"/>
      <c r="D41" s="130"/>
      <c r="E41" s="131"/>
      <c r="F41" s="142"/>
      <c r="G41" s="32"/>
      <c r="H41" s="34">
        <f t="shared" ref="H41:K41" si="10">(H40-H39+1)/7</f>
        <v>0.42857142857142855</v>
      </c>
      <c r="I41" s="34">
        <f t="shared" si="10"/>
        <v>4.7142857142857144</v>
      </c>
      <c r="J41" s="34">
        <f t="shared" si="10"/>
        <v>1</v>
      </c>
      <c r="K41" s="34">
        <f t="shared" si="10"/>
        <v>5.5714285714285712</v>
      </c>
      <c r="L41" s="137"/>
      <c r="M41" s="494"/>
      <c r="O41" s="77">
        <v>11.1</v>
      </c>
      <c r="P41" s="77">
        <v>15.1</v>
      </c>
      <c r="Q41" s="77">
        <f t="shared" ref="Q41:Q46" si="11">O41-P41</f>
        <v>-4</v>
      </c>
      <c r="R41" s="77"/>
    </row>
    <row r="42" spans="1:19" ht="15" customHeight="1" x14ac:dyDescent="0.3">
      <c r="A42" s="352"/>
      <c r="B42" s="133" t="s">
        <v>81</v>
      </c>
      <c r="C42" s="127">
        <v>16</v>
      </c>
      <c r="D42" s="126"/>
      <c r="E42" s="128"/>
      <c r="F42" s="141">
        <f t="shared" ref="F42" si="12">C42+D42+E42</f>
        <v>16</v>
      </c>
      <c r="G42" s="18">
        <v>45901</v>
      </c>
      <c r="H42" s="20">
        <v>45902</v>
      </c>
      <c r="I42" s="38">
        <v>45908</v>
      </c>
      <c r="J42" s="38"/>
      <c r="K42" s="38">
        <v>45950</v>
      </c>
      <c r="L42" s="135">
        <f>(K43-G42+1)/7</f>
        <v>11.714285714285714</v>
      </c>
      <c r="M42" s="492" t="s">
        <v>82</v>
      </c>
      <c r="O42" s="77">
        <v>10.7</v>
      </c>
      <c r="P42" s="77">
        <v>15.1</v>
      </c>
      <c r="Q42" s="77">
        <f t="shared" si="11"/>
        <v>-4.4000000000000004</v>
      </c>
      <c r="R42" s="77"/>
    </row>
    <row r="43" spans="1:19" ht="15" customHeight="1" x14ac:dyDescent="0.3">
      <c r="A43" s="352"/>
      <c r="B43" s="133"/>
      <c r="C43" s="127"/>
      <c r="D43" s="126"/>
      <c r="E43" s="128"/>
      <c r="F43" s="141"/>
      <c r="G43" s="22"/>
      <c r="H43" s="20">
        <v>45904</v>
      </c>
      <c r="I43" s="20">
        <v>45947</v>
      </c>
      <c r="J43" s="20"/>
      <c r="K43" s="23">
        <v>45982</v>
      </c>
      <c r="L43" s="136"/>
      <c r="M43" s="493"/>
      <c r="O43" s="77">
        <v>10.3</v>
      </c>
      <c r="P43" s="77">
        <v>14.7</v>
      </c>
      <c r="Q43" s="77">
        <f t="shared" si="11"/>
        <v>-4.3999999999999986</v>
      </c>
      <c r="R43" s="77"/>
    </row>
    <row r="44" spans="1:19" ht="15" customHeight="1" x14ac:dyDescent="0.3">
      <c r="A44" s="352"/>
      <c r="B44" s="148"/>
      <c r="C44" s="129"/>
      <c r="D44" s="130"/>
      <c r="E44" s="131"/>
      <c r="F44" s="142"/>
      <c r="G44" s="32"/>
      <c r="H44" s="34">
        <f t="shared" ref="H44:K44" si="13">(H43-H42+1)/7</f>
        <v>0.42857142857142855</v>
      </c>
      <c r="I44" s="34">
        <f t="shared" si="13"/>
        <v>5.7142857142857144</v>
      </c>
      <c r="J44" s="34"/>
      <c r="K44" s="34">
        <f t="shared" si="13"/>
        <v>4.7142857142857144</v>
      </c>
      <c r="L44" s="137"/>
      <c r="M44" s="494"/>
      <c r="O44" s="77">
        <v>7.7</v>
      </c>
      <c r="P44" s="77">
        <v>10.7</v>
      </c>
      <c r="Q44" s="77">
        <f t="shared" si="11"/>
        <v>-2.9999999999999991</v>
      </c>
      <c r="R44" s="77"/>
    </row>
    <row r="45" spans="1:19" ht="15" customHeight="1" x14ac:dyDescent="0.3">
      <c r="A45" s="352"/>
      <c r="B45" s="163" t="s">
        <v>83</v>
      </c>
      <c r="C45" s="155">
        <v>16</v>
      </c>
      <c r="D45" s="156"/>
      <c r="E45" s="183">
        <v>8</v>
      </c>
      <c r="F45" s="158">
        <f t="shared" ref="F45" si="14">C45+D45+E45</f>
        <v>24</v>
      </c>
      <c r="G45" s="159">
        <v>45943</v>
      </c>
      <c r="H45" s="160">
        <v>45944</v>
      </c>
      <c r="I45" s="161">
        <v>45950</v>
      </c>
      <c r="J45" s="161"/>
      <c r="K45" s="161">
        <v>45985</v>
      </c>
      <c r="L45" s="162">
        <f>(K46-G45+1)/7</f>
        <v>13.714285714285714</v>
      </c>
      <c r="M45" s="495" t="s">
        <v>100</v>
      </c>
      <c r="O45" s="77">
        <v>9.6999999999999993</v>
      </c>
      <c r="P45" s="77">
        <v>9.6999999999999993</v>
      </c>
      <c r="Q45" s="77">
        <f t="shared" si="11"/>
        <v>0</v>
      </c>
      <c r="R45" s="77"/>
    </row>
    <row r="46" spans="1:19" ht="15" customHeight="1" x14ac:dyDescent="0.3">
      <c r="A46" s="352"/>
      <c r="B46" s="163"/>
      <c r="C46" s="155"/>
      <c r="D46" s="156"/>
      <c r="E46" s="157"/>
      <c r="F46" s="158"/>
      <c r="G46" s="164"/>
      <c r="H46" s="160">
        <v>45946</v>
      </c>
      <c r="I46" s="160">
        <v>45977</v>
      </c>
      <c r="J46" s="160"/>
      <c r="K46" s="165">
        <v>46038</v>
      </c>
      <c r="L46" s="166"/>
      <c r="M46" s="496"/>
      <c r="O46" s="77">
        <v>9.6</v>
      </c>
      <c r="P46" s="77">
        <v>9.6</v>
      </c>
      <c r="Q46" s="77">
        <f t="shared" si="11"/>
        <v>0</v>
      </c>
      <c r="R46" s="77"/>
      <c r="S46" s="72"/>
    </row>
    <row r="47" spans="1:19" ht="15" customHeight="1" x14ac:dyDescent="0.3">
      <c r="A47" s="352"/>
      <c r="B47" s="167"/>
      <c r="C47" s="168"/>
      <c r="D47" s="169"/>
      <c r="E47" s="170"/>
      <c r="F47" s="171"/>
      <c r="G47" s="172"/>
      <c r="H47" s="173">
        <f t="shared" ref="H47:K47" si="15">(H46-H45+1)/7</f>
        <v>0.42857142857142855</v>
      </c>
      <c r="I47" s="173">
        <f t="shared" si="15"/>
        <v>4</v>
      </c>
      <c r="J47" s="173"/>
      <c r="K47" s="173">
        <f t="shared" si="15"/>
        <v>7.7142857142857144</v>
      </c>
      <c r="L47" s="174"/>
      <c r="M47" s="497"/>
      <c r="O47" s="77"/>
      <c r="P47" s="77"/>
      <c r="Q47" s="77"/>
      <c r="R47" s="77"/>
    </row>
    <row r="48" spans="1:19" ht="15" customHeight="1" x14ac:dyDescent="0.3">
      <c r="A48" s="352"/>
      <c r="B48" s="175" t="s">
        <v>84</v>
      </c>
      <c r="C48" s="176">
        <v>16</v>
      </c>
      <c r="D48" s="177"/>
      <c r="E48" s="178">
        <v>6</v>
      </c>
      <c r="F48" s="158">
        <f>C48+D48+E48</f>
        <v>22</v>
      </c>
      <c r="G48" s="159">
        <v>45971</v>
      </c>
      <c r="H48" s="161">
        <v>45972</v>
      </c>
      <c r="I48" s="161">
        <v>45978</v>
      </c>
      <c r="J48" s="161">
        <v>46020</v>
      </c>
      <c r="K48" s="161">
        <v>46037</v>
      </c>
      <c r="L48" s="162">
        <f>(K49-G48+1)/7</f>
        <v>15.857142857142858</v>
      </c>
      <c r="M48" s="495" t="s">
        <v>101</v>
      </c>
      <c r="O48" s="77"/>
      <c r="P48" s="77"/>
      <c r="Q48" s="77"/>
      <c r="R48" s="77"/>
    </row>
    <row r="49" spans="1:18" ht="15" customHeight="1" x14ac:dyDescent="0.3">
      <c r="A49" s="352"/>
      <c r="B49" s="179"/>
      <c r="C49" s="155"/>
      <c r="D49" s="156"/>
      <c r="E49" s="180"/>
      <c r="F49" s="158"/>
      <c r="G49" s="164"/>
      <c r="H49" s="160">
        <v>45974</v>
      </c>
      <c r="I49" s="160">
        <v>46019</v>
      </c>
      <c r="J49" s="160">
        <v>46033</v>
      </c>
      <c r="K49" s="165">
        <v>46081</v>
      </c>
      <c r="L49" s="166"/>
      <c r="M49" s="496"/>
      <c r="O49" s="77"/>
      <c r="P49" s="77"/>
      <c r="Q49" s="77"/>
      <c r="R49" s="77"/>
    </row>
    <row r="50" spans="1:18" ht="15" customHeight="1" x14ac:dyDescent="0.3">
      <c r="A50" s="352"/>
      <c r="B50" s="181"/>
      <c r="C50" s="168"/>
      <c r="D50" s="169"/>
      <c r="E50" s="182"/>
      <c r="F50" s="171"/>
      <c r="G50" s="172"/>
      <c r="H50" s="173">
        <f t="shared" ref="H50:K50" si="16">(H49-H48+1)/7</f>
        <v>0.42857142857142855</v>
      </c>
      <c r="I50" s="173">
        <f t="shared" si="16"/>
        <v>6</v>
      </c>
      <c r="J50" s="173">
        <f t="shared" si="16"/>
        <v>2</v>
      </c>
      <c r="K50" s="173">
        <f t="shared" si="16"/>
        <v>6.4285714285714288</v>
      </c>
      <c r="L50" s="174"/>
      <c r="M50" s="497"/>
      <c r="O50" s="77"/>
      <c r="P50" s="77"/>
      <c r="Q50" s="77"/>
      <c r="R50" s="77"/>
    </row>
    <row r="51" spans="1:18" ht="15" customHeight="1" x14ac:dyDescent="0.3">
      <c r="A51" s="352"/>
      <c r="B51" s="163" t="s">
        <v>85</v>
      </c>
      <c r="C51" s="155">
        <v>16</v>
      </c>
      <c r="D51" s="156"/>
      <c r="E51" s="183">
        <v>5</v>
      </c>
      <c r="F51" s="158">
        <f>C51+D51+E51</f>
        <v>21</v>
      </c>
      <c r="G51" s="159">
        <v>46006</v>
      </c>
      <c r="H51" s="161">
        <v>46007</v>
      </c>
      <c r="I51" s="161">
        <v>46013</v>
      </c>
      <c r="J51" s="161">
        <v>46069</v>
      </c>
      <c r="K51" s="161">
        <v>46083</v>
      </c>
      <c r="L51" s="162">
        <f>(K52-G51+1)/7</f>
        <v>15.714285714285714</v>
      </c>
      <c r="M51" s="495" t="s">
        <v>102</v>
      </c>
      <c r="O51" s="77"/>
      <c r="P51" s="77"/>
      <c r="Q51" s="77"/>
      <c r="R51" s="77"/>
    </row>
    <row r="52" spans="1:18" ht="15" customHeight="1" x14ac:dyDescent="0.3">
      <c r="A52" s="352"/>
      <c r="B52" s="163"/>
      <c r="C52" s="155"/>
      <c r="D52" s="156"/>
      <c r="E52" s="180"/>
      <c r="F52" s="158"/>
      <c r="G52" s="164"/>
      <c r="H52" s="160">
        <v>46009</v>
      </c>
      <c r="I52" s="160">
        <v>46052</v>
      </c>
      <c r="J52" s="160">
        <v>46082</v>
      </c>
      <c r="K52" s="165">
        <v>46115</v>
      </c>
      <c r="L52" s="166"/>
      <c r="M52" s="496"/>
      <c r="O52" s="77"/>
      <c r="P52" s="77"/>
      <c r="Q52" s="77"/>
      <c r="R52" s="77"/>
    </row>
    <row r="53" spans="1:18" ht="15" customHeight="1" x14ac:dyDescent="0.3">
      <c r="A53" s="352"/>
      <c r="B53" s="181"/>
      <c r="C53" s="168"/>
      <c r="D53" s="169"/>
      <c r="E53" s="182"/>
      <c r="F53" s="171"/>
      <c r="G53" s="172"/>
      <c r="H53" s="173">
        <f t="shared" ref="H53:K53" si="17">(H52-H51+1)/7</f>
        <v>0.42857142857142855</v>
      </c>
      <c r="I53" s="173">
        <f t="shared" si="17"/>
        <v>5.7142857142857144</v>
      </c>
      <c r="J53" s="173">
        <f t="shared" si="17"/>
        <v>2</v>
      </c>
      <c r="K53" s="173">
        <f t="shared" si="17"/>
        <v>4.7142857142857144</v>
      </c>
      <c r="L53" s="174"/>
      <c r="M53" s="497"/>
      <c r="O53" s="77"/>
      <c r="P53" s="77"/>
      <c r="Q53" s="77"/>
      <c r="R53" s="77"/>
    </row>
    <row r="54" spans="1:18" ht="15" customHeight="1" x14ac:dyDescent="0.3">
      <c r="A54" s="352"/>
      <c r="B54" s="132" t="s">
        <v>86</v>
      </c>
      <c r="C54" s="127">
        <v>16</v>
      </c>
      <c r="D54" s="126"/>
      <c r="E54" s="184"/>
      <c r="F54" s="141">
        <f t="shared" ref="F54" si="18">C54+D54+E54</f>
        <v>16</v>
      </c>
      <c r="G54" s="18">
        <v>46041</v>
      </c>
      <c r="H54" s="38">
        <v>46042</v>
      </c>
      <c r="I54" s="38">
        <v>46048</v>
      </c>
      <c r="J54" s="38">
        <v>46097</v>
      </c>
      <c r="K54" s="38">
        <v>46118</v>
      </c>
      <c r="L54" s="135">
        <f>(K55-G54+1)/7</f>
        <v>14.857142857142858</v>
      </c>
      <c r="M54" s="492" t="s">
        <v>103</v>
      </c>
      <c r="O54" s="77"/>
      <c r="P54" s="77"/>
      <c r="Q54" s="77"/>
      <c r="R54" s="77"/>
    </row>
    <row r="55" spans="1:18" ht="15" customHeight="1" x14ac:dyDescent="0.3">
      <c r="A55" s="352"/>
      <c r="B55" s="133"/>
      <c r="C55" s="127"/>
      <c r="D55" s="126"/>
      <c r="E55" s="185"/>
      <c r="F55" s="141"/>
      <c r="G55" s="22"/>
      <c r="H55" s="20">
        <v>46044</v>
      </c>
      <c r="I55" s="20">
        <v>46087</v>
      </c>
      <c r="J55" s="20">
        <v>46117</v>
      </c>
      <c r="K55" s="23">
        <v>46144</v>
      </c>
      <c r="L55" s="136"/>
      <c r="M55" s="493"/>
      <c r="O55" s="77"/>
      <c r="P55" s="77"/>
      <c r="Q55" s="77"/>
      <c r="R55" s="77"/>
    </row>
    <row r="56" spans="1:18" ht="15" customHeight="1" x14ac:dyDescent="0.3">
      <c r="A56" s="352"/>
      <c r="B56" s="134"/>
      <c r="C56" s="129"/>
      <c r="D56" s="130"/>
      <c r="E56" s="186"/>
      <c r="F56" s="142"/>
      <c r="G56" s="32"/>
      <c r="H56" s="34">
        <f t="shared" ref="H56:K56" si="19">(H55-H54+1)/7</f>
        <v>0.42857142857142855</v>
      </c>
      <c r="I56" s="34">
        <f t="shared" si="19"/>
        <v>5.7142857142857144</v>
      </c>
      <c r="J56" s="34">
        <f t="shared" si="19"/>
        <v>3</v>
      </c>
      <c r="K56" s="34">
        <f t="shared" si="19"/>
        <v>3.8571428571428572</v>
      </c>
      <c r="L56" s="137"/>
      <c r="M56" s="494"/>
      <c r="O56" s="77"/>
      <c r="P56" s="77"/>
      <c r="Q56" s="77"/>
      <c r="R56" s="77"/>
    </row>
    <row r="57" spans="1:18" ht="15" customHeight="1" x14ac:dyDescent="0.3">
      <c r="A57" s="352"/>
      <c r="B57" s="133" t="s">
        <v>87</v>
      </c>
      <c r="C57" s="127">
        <v>16</v>
      </c>
      <c r="D57" s="126"/>
      <c r="E57" s="128"/>
      <c r="F57" s="141">
        <f t="shared" ref="F57" si="20">C57+D57+E57</f>
        <v>16</v>
      </c>
      <c r="G57" s="18">
        <v>46075</v>
      </c>
      <c r="H57" s="38">
        <v>46077</v>
      </c>
      <c r="I57" s="38">
        <v>46084</v>
      </c>
      <c r="J57" s="38">
        <v>46118</v>
      </c>
      <c r="K57" s="38">
        <v>46146</v>
      </c>
      <c r="L57" s="135">
        <f>(K58-G57+1)/7</f>
        <v>14.428571428571429</v>
      </c>
      <c r="M57" s="492" t="s">
        <v>104</v>
      </c>
      <c r="O57" s="77"/>
      <c r="P57" s="77"/>
      <c r="Q57" s="77"/>
      <c r="R57" s="77"/>
    </row>
    <row r="58" spans="1:18" ht="15" customHeight="1" x14ac:dyDescent="0.3">
      <c r="A58" s="352"/>
      <c r="B58" s="133"/>
      <c r="C58" s="127"/>
      <c r="D58" s="126"/>
      <c r="E58" s="128"/>
      <c r="F58" s="141"/>
      <c r="G58" s="22"/>
      <c r="H58" s="20">
        <v>46079</v>
      </c>
      <c r="I58" s="20">
        <v>46115</v>
      </c>
      <c r="J58" s="20">
        <v>46145</v>
      </c>
      <c r="K58" s="23">
        <v>46175</v>
      </c>
      <c r="L58" s="136"/>
      <c r="M58" s="493"/>
      <c r="O58" s="77"/>
      <c r="P58" s="77"/>
      <c r="Q58" s="77"/>
      <c r="R58" s="77"/>
    </row>
    <row r="59" spans="1:18" ht="15" customHeight="1" x14ac:dyDescent="0.3">
      <c r="A59" s="352"/>
      <c r="B59" s="134"/>
      <c r="C59" s="129"/>
      <c r="D59" s="130"/>
      <c r="E59" s="131"/>
      <c r="F59" s="142"/>
      <c r="G59" s="32"/>
      <c r="H59" s="34">
        <f t="shared" ref="H59:K59" si="21">(H58-H57+1)/7</f>
        <v>0.42857142857142855</v>
      </c>
      <c r="I59" s="34">
        <f t="shared" si="21"/>
        <v>4.5714285714285712</v>
      </c>
      <c r="J59" s="34">
        <f t="shared" si="21"/>
        <v>4</v>
      </c>
      <c r="K59" s="34">
        <f t="shared" si="21"/>
        <v>4.2857142857142856</v>
      </c>
      <c r="L59" s="137"/>
      <c r="M59" s="494"/>
      <c r="O59" s="77"/>
      <c r="P59" s="77"/>
      <c r="Q59" s="77"/>
      <c r="R59" s="77"/>
    </row>
    <row r="60" spans="1:18" ht="15" customHeight="1" x14ac:dyDescent="0.3">
      <c r="A60" s="352"/>
      <c r="B60" s="133" t="s">
        <v>88</v>
      </c>
      <c r="C60" s="127">
        <v>16</v>
      </c>
      <c r="D60" s="126"/>
      <c r="E60" s="128"/>
      <c r="F60" s="141">
        <f t="shared" ref="F60" si="22">C60+D60+E60</f>
        <v>16</v>
      </c>
      <c r="G60" s="18">
        <v>46111</v>
      </c>
      <c r="H60" s="38">
        <v>46112</v>
      </c>
      <c r="I60" s="38">
        <v>46118</v>
      </c>
      <c r="J60" s="20">
        <v>46160</v>
      </c>
      <c r="K60" s="38">
        <v>46176</v>
      </c>
      <c r="L60" s="135">
        <f>(K61-G60+1)/7</f>
        <v>14.714285714285714</v>
      </c>
      <c r="M60" s="492" t="s">
        <v>105</v>
      </c>
      <c r="O60" s="77"/>
      <c r="P60" s="77"/>
      <c r="Q60" s="77"/>
      <c r="R60" s="77"/>
    </row>
    <row r="61" spans="1:18" ht="15" customHeight="1" x14ac:dyDescent="0.3">
      <c r="A61" s="352"/>
      <c r="B61" s="133"/>
      <c r="C61" s="127"/>
      <c r="D61" s="126"/>
      <c r="E61" s="128"/>
      <c r="F61" s="141"/>
      <c r="G61" s="22"/>
      <c r="H61" s="20">
        <v>46114</v>
      </c>
      <c r="I61" s="20">
        <v>46144</v>
      </c>
      <c r="J61" s="20">
        <v>46173</v>
      </c>
      <c r="K61" s="23">
        <v>46213</v>
      </c>
      <c r="L61" s="136"/>
      <c r="M61" s="493"/>
      <c r="O61" s="77"/>
      <c r="P61" s="77"/>
      <c r="Q61" s="77"/>
      <c r="R61" s="77"/>
    </row>
    <row r="62" spans="1:18" ht="15" customHeight="1" thickBot="1" x14ac:dyDescent="0.35">
      <c r="A62" s="353"/>
      <c r="B62" s="149"/>
      <c r="C62" s="150"/>
      <c r="D62" s="151"/>
      <c r="E62" s="152"/>
      <c r="F62" s="153"/>
      <c r="G62" s="52"/>
      <c r="H62" s="54">
        <f t="shared" ref="H62:K62" si="23">(H61-H60+1)/7</f>
        <v>0.42857142857142855</v>
      </c>
      <c r="I62" s="54">
        <f t="shared" si="23"/>
        <v>3.8571428571428572</v>
      </c>
      <c r="J62" s="54">
        <f t="shared" si="23"/>
        <v>2</v>
      </c>
      <c r="K62" s="54">
        <f t="shared" si="23"/>
        <v>5.4285714285714288</v>
      </c>
      <c r="L62" s="154"/>
      <c r="M62" s="498"/>
      <c r="O62" s="77"/>
      <c r="P62" s="77"/>
      <c r="Q62" s="77"/>
      <c r="R62" s="77"/>
    </row>
    <row r="63" spans="1:18" ht="24" customHeight="1" thickBot="1" x14ac:dyDescent="0.35">
      <c r="A63" s="343" t="s">
        <v>10</v>
      </c>
      <c r="B63" s="344"/>
      <c r="C63" s="112">
        <f>SUM(C33:C62)</f>
        <v>158</v>
      </c>
      <c r="D63" s="114">
        <f t="shared" ref="D63:E63" si="24">SUM(D33:D62)</f>
        <v>0</v>
      </c>
      <c r="E63" s="57">
        <f t="shared" si="24"/>
        <v>19</v>
      </c>
      <c r="F63" s="140">
        <f>SUM(C63:E63)</f>
        <v>177</v>
      </c>
      <c r="G63" s="453" t="s">
        <v>42</v>
      </c>
      <c r="H63" s="454"/>
      <c r="I63" s="454"/>
      <c r="J63" s="454"/>
      <c r="K63" s="455"/>
      <c r="L63" s="61">
        <f>AVERAGE(L33:L62)</f>
        <v>13.8</v>
      </c>
      <c r="M63" s="62" t="s">
        <v>41</v>
      </c>
    </row>
    <row r="64" spans="1:18" ht="24" customHeight="1" thickBot="1" x14ac:dyDescent="0.35">
      <c r="A64" s="345" t="s">
        <v>69</v>
      </c>
      <c r="B64" s="346"/>
      <c r="C64" s="112">
        <f>C32+C63</f>
        <v>182</v>
      </c>
      <c r="D64" s="114">
        <f t="shared" ref="D64:E64" si="25">D32+D63</f>
        <v>49</v>
      </c>
      <c r="E64" s="57">
        <f t="shared" si="25"/>
        <v>19</v>
      </c>
      <c r="F64" s="140">
        <f>SUM(C64:E64)</f>
        <v>250</v>
      </c>
      <c r="G64" s="456" t="s">
        <v>70</v>
      </c>
      <c r="H64" s="457"/>
      <c r="I64" s="457"/>
      <c r="J64" s="457"/>
      <c r="K64" s="458"/>
      <c r="L64" s="61">
        <f>AVERAGE(L32,L63)</f>
        <v>12.602380952380951</v>
      </c>
      <c r="M64" s="62" t="s">
        <v>41</v>
      </c>
    </row>
    <row r="65" spans="1:13" ht="45.75" customHeight="1" x14ac:dyDescent="0.3">
      <c r="A65" s="347" t="s">
        <v>71</v>
      </c>
      <c r="B65" s="347"/>
      <c r="C65" s="347"/>
      <c r="D65" s="347"/>
      <c r="E65" s="347"/>
      <c r="F65" s="347"/>
      <c r="G65" s="347"/>
      <c r="H65" s="347"/>
      <c r="I65" s="347"/>
      <c r="J65" s="347"/>
      <c r="K65" s="347"/>
      <c r="L65" s="347"/>
      <c r="M65" s="347"/>
    </row>
    <row r="66" spans="1:13" x14ac:dyDescent="0.3">
      <c r="H66" s="39"/>
    </row>
    <row r="67" spans="1:13" x14ac:dyDescent="0.3">
      <c r="G67" s="39"/>
      <c r="H67" s="39"/>
    </row>
    <row r="68" spans="1:13" x14ac:dyDescent="0.3">
      <c r="C68" s="39"/>
      <c r="D68" s="39"/>
      <c r="G68" s="39"/>
    </row>
  </sheetData>
  <mergeCells count="55">
    <mergeCell ref="A65:M65"/>
    <mergeCell ref="M48:M50"/>
    <mergeCell ref="M60:M62"/>
    <mergeCell ref="A63:B63"/>
    <mergeCell ref="G63:K63"/>
    <mergeCell ref="A64:B64"/>
    <mergeCell ref="G64:K64"/>
    <mergeCell ref="M51:M53"/>
    <mergeCell ref="M54:M56"/>
    <mergeCell ref="M57:M59"/>
    <mergeCell ref="A32:B32"/>
    <mergeCell ref="G32:K32"/>
    <mergeCell ref="O32:P32"/>
    <mergeCell ref="A33:A62"/>
    <mergeCell ref="M33:M35"/>
    <mergeCell ref="M36:M38"/>
    <mergeCell ref="M39:M41"/>
    <mergeCell ref="M42:M44"/>
    <mergeCell ref="M45:M47"/>
    <mergeCell ref="A14:A31"/>
    <mergeCell ref="M14:M16"/>
    <mergeCell ref="M17:M19"/>
    <mergeCell ref="M20:M22"/>
    <mergeCell ref="M23:M25"/>
    <mergeCell ref="M26:M28"/>
    <mergeCell ref="M29:M31"/>
    <mergeCell ref="A8:B8"/>
    <mergeCell ref="C8:F8"/>
    <mergeCell ref="G8:H8"/>
    <mergeCell ref="C12:D12"/>
    <mergeCell ref="A10:B10"/>
    <mergeCell ref="A11:A13"/>
    <mergeCell ref="B11:B13"/>
    <mergeCell ref="C11:E11"/>
    <mergeCell ref="G11:L11"/>
    <mergeCell ref="I8:M8"/>
    <mergeCell ref="M11:M13"/>
    <mergeCell ref="G12:L12"/>
    <mergeCell ref="F11:F13"/>
    <mergeCell ref="A5:B5"/>
    <mergeCell ref="C5:F5"/>
    <mergeCell ref="G5:H5"/>
    <mergeCell ref="I5:M7"/>
    <mergeCell ref="A6:B6"/>
    <mergeCell ref="C6:F6"/>
    <mergeCell ref="G6:H6"/>
    <mergeCell ref="A7:B7"/>
    <mergeCell ref="C7:F7"/>
    <mergeCell ref="G7:H7"/>
    <mergeCell ref="A1:M1"/>
    <mergeCell ref="A3:B3"/>
    <mergeCell ref="A4:B4"/>
    <mergeCell ref="C4:F4"/>
    <mergeCell ref="G4:H4"/>
    <mergeCell ref="I4:M4"/>
  </mergeCells>
  <phoneticPr fontId="2" type="noConversion"/>
  <printOptions horizontalCentered="1"/>
  <pageMargins left="0.31496062992125984" right="0.31496062992125984" top="0.74803149606299213" bottom="0.39370078740157483" header="0.31496062992125984" footer="0.31496062992125984"/>
  <pageSetup paperSize="9" scale="61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610C9-9D49-4D88-950F-85CB955C10AF}">
  <sheetPr>
    <pageSetUpPr fitToPage="1"/>
  </sheetPr>
  <dimension ref="A1:T68"/>
  <sheetViews>
    <sheetView showGridLines="0" workbookViewId="0">
      <selection activeCell="F5" sqref="F5:G5"/>
    </sheetView>
  </sheetViews>
  <sheetFormatPr defaultColWidth="9" defaultRowHeight="16.5" x14ac:dyDescent="0.3"/>
  <cols>
    <col min="1" max="1" width="10.5" style="5" customWidth="1"/>
    <col min="2" max="2" width="12.125" style="5" customWidth="1"/>
    <col min="3" max="5" width="6.375" style="5" customWidth="1"/>
    <col min="6" max="7" width="12.25" style="5" customWidth="1"/>
    <col min="8" max="12" width="11.625" style="5" customWidth="1"/>
    <col min="13" max="13" width="16.625" style="100" customWidth="1"/>
    <col min="14" max="14" width="5.625" style="5" customWidth="1"/>
    <col min="15" max="15" width="15.625" style="5" hidden="1" customWidth="1"/>
    <col min="16" max="17" width="11.75" style="5" hidden="1" customWidth="1"/>
    <col min="18" max="21" width="10.625" style="5" customWidth="1"/>
    <col min="22" max="23" width="13" style="5" customWidth="1"/>
    <col min="24" max="16384" width="9" style="5"/>
  </cols>
  <sheetData>
    <row r="1" spans="1:19" s="1" customFormat="1" ht="39" customHeight="1" x14ac:dyDescent="0.3">
      <c r="A1" s="471" t="s">
        <v>93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</row>
    <row r="2" spans="1:19" ht="22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>
        <v>45657</v>
      </c>
    </row>
    <row r="3" spans="1:19" ht="24" customHeight="1" x14ac:dyDescent="0.3">
      <c r="A3" s="418" t="s">
        <v>0</v>
      </c>
      <c r="B3" s="419"/>
      <c r="C3" s="2"/>
      <c r="D3" s="2"/>
      <c r="E3" s="2"/>
      <c r="F3" s="6"/>
      <c r="G3" s="6"/>
      <c r="H3" s="6"/>
      <c r="I3" s="6"/>
      <c r="J3" s="6"/>
      <c r="K3" s="6"/>
      <c r="L3" s="6"/>
      <c r="M3" s="7"/>
    </row>
    <row r="4" spans="1:19" ht="24" customHeight="1" thickBot="1" x14ac:dyDescent="0.35">
      <c r="A4" s="420" t="s">
        <v>1</v>
      </c>
      <c r="B4" s="421"/>
      <c r="C4" s="426" t="s">
        <v>2</v>
      </c>
      <c r="D4" s="424"/>
      <c r="E4" s="420"/>
      <c r="F4" s="426" t="s">
        <v>3</v>
      </c>
      <c r="G4" s="420"/>
      <c r="H4" s="426" t="s">
        <v>4</v>
      </c>
      <c r="I4" s="420"/>
      <c r="J4" s="426" t="s">
        <v>5</v>
      </c>
      <c r="K4" s="424"/>
      <c r="L4" s="424"/>
      <c r="M4" s="424"/>
    </row>
    <row r="5" spans="1:19" ht="24" customHeight="1" x14ac:dyDescent="0.3">
      <c r="A5" s="427" t="s">
        <v>6</v>
      </c>
      <c r="B5" s="428"/>
      <c r="C5" s="429"/>
      <c r="D5" s="430"/>
      <c r="E5" s="431"/>
      <c r="F5" s="429">
        <f>E29</f>
        <v>81</v>
      </c>
      <c r="G5" s="431"/>
      <c r="H5" s="429"/>
      <c r="I5" s="431"/>
      <c r="J5" s="434" t="s">
        <v>7</v>
      </c>
      <c r="K5" s="466"/>
      <c r="L5" s="466"/>
      <c r="M5" s="466"/>
    </row>
    <row r="6" spans="1:19" ht="24" customHeight="1" x14ac:dyDescent="0.3">
      <c r="A6" s="440" t="s">
        <v>8</v>
      </c>
      <c r="B6" s="441"/>
      <c r="C6" s="442">
        <f>E63</f>
        <v>152</v>
      </c>
      <c r="D6" s="443"/>
      <c r="E6" s="444"/>
      <c r="F6" s="442">
        <f>SUM(E30:E44)</f>
        <v>79</v>
      </c>
      <c r="G6" s="444"/>
      <c r="H6" s="442"/>
      <c r="I6" s="444"/>
      <c r="J6" s="467"/>
      <c r="K6" s="468"/>
      <c r="L6" s="468"/>
      <c r="M6" s="468"/>
    </row>
    <row r="7" spans="1:19" ht="24" customHeight="1" thickBot="1" x14ac:dyDescent="0.35">
      <c r="A7" s="445" t="s">
        <v>9</v>
      </c>
      <c r="B7" s="446"/>
      <c r="C7" s="392"/>
      <c r="D7" s="447"/>
      <c r="E7" s="393"/>
      <c r="F7" s="392"/>
      <c r="G7" s="393"/>
      <c r="H7" s="392">
        <f>SUM(E45:E62)</f>
        <v>73</v>
      </c>
      <c r="I7" s="393"/>
      <c r="J7" s="469"/>
      <c r="K7" s="470"/>
      <c r="L7" s="470"/>
      <c r="M7" s="470"/>
    </row>
    <row r="8" spans="1:19" ht="24" customHeight="1" x14ac:dyDescent="0.3">
      <c r="A8" s="407" t="s">
        <v>10</v>
      </c>
      <c r="B8" s="408"/>
      <c r="C8" s="409">
        <f>SUM(C5:E7)</f>
        <v>152</v>
      </c>
      <c r="D8" s="410"/>
      <c r="E8" s="411"/>
      <c r="F8" s="409">
        <f>SUM(F5:G7)</f>
        <v>160</v>
      </c>
      <c r="G8" s="411"/>
      <c r="H8" s="409">
        <f>H7</f>
        <v>73</v>
      </c>
      <c r="I8" s="411"/>
      <c r="J8" s="412"/>
      <c r="K8" s="414"/>
      <c r="L8" s="414"/>
      <c r="M8" s="414"/>
    </row>
    <row r="9" spans="1:19" ht="29.25" customHeight="1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9" ht="29.25" customHeight="1" thickBot="1" x14ac:dyDescent="0.35">
      <c r="A10" s="415" t="s">
        <v>11</v>
      </c>
      <c r="B10" s="416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9" ht="36" customHeight="1" x14ac:dyDescent="0.3">
      <c r="A11" s="394" t="s">
        <v>12</v>
      </c>
      <c r="B11" s="397" t="s">
        <v>13</v>
      </c>
      <c r="C11" s="399" t="s">
        <v>14</v>
      </c>
      <c r="D11" s="400"/>
      <c r="E11" s="394" t="s">
        <v>15</v>
      </c>
      <c r="F11" s="504" t="s">
        <v>16</v>
      </c>
      <c r="G11" s="507" t="s">
        <v>17</v>
      </c>
      <c r="H11" s="404" t="s">
        <v>18</v>
      </c>
      <c r="I11" s="405"/>
      <c r="J11" s="405"/>
      <c r="K11" s="405"/>
      <c r="L11" s="406"/>
      <c r="M11" s="460" t="s">
        <v>19</v>
      </c>
    </row>
    <row r="12" spans="1:19" ht="22.5" customHeight="1" x14ac:dyDescent="0.3">
      <c r="A12" s="395"/>
      <c r="B12" s="398"/>
      <c r="C12" s="375" t="s">
        <v>20</v>
      </c>
      <c r="D12" s="372" t="s">
        <v>21</v>
      </c>
      <c r="E12" s="395"/>
      <c r="F12" s="505"/>
      <c r="G12" s="508"/>
      <c r="H12" s="465" t="s">
        <v>22</v>
      </c>
      <c r="I12" s="382"/>
      <c r="J12" s="382"/>
      <c r="K12" s="382"/>
      <c r="L12" s="383"/>
      <c r="M12" s="461"/>
    </row>
    <row r="13" spans="1:19" ht="28.5" customHeight="1" thickBot="1" x14ac:dyDescent="0.35">
      <c r="A13" s="396"/>
      <c r="B13" s="385"/>
      <c r="C13" s="510"/>
      <c r="D13" s="396"/>
      <c r="E13" s="396"/>
      <c r="F13" s="506"/>
      <c r="G13" s="509"/>
      <c r="H13" s="9" t="s">
        <v>23</v>
      </c>
      <c r="I13" s="10" t="s">
        <v>24</v>
      </c>
      <c r="J13" s="10" t="s">
        <v>25</v>
      </c>
      <c r="K13" s="11" t="s">
        <v>26</v>
      </c>
      <c r="L13" s="12" t="s">
        <v>27</v>
      </c>
      <c r="M13" s="462"/>
    </row>
    <row r="14" spans="1:19" ht="16.5" customHeight="1" x14ac:dyDescent="0.3">
      <c r="A14" s="351" t="s">
        <v>28</v>
      </c>
      <c r="B14" s="13" t="s">
        <v>29</v>
      </c>
      <c r="C14" s="14">
        <v>14</v>
      </c>
      <c r="D14" s="15">
        <v>4</v>
      </c>
      <c r="E14" s="15">
        <v>18</v>
      </c>
      <c r="F14" s="16">
        <v>45096</v>
      </c>
      <c r="G14" s="17">
        <v>45180</v>
      </c>
      <c r="H14" s="18">
        <v>45222</v>
      </c>
      <c r="I14" s="19">
        <v>45223</v>
      </c>
      <c r="J14" s="19">
        <v>45231</v>
      </c>
      <c r="K14" s="20">
        <v>45266</v>
      </c>
      <c r="L14" s="21">
        <f>(K15-H14+1)/7</f>
        <v>12.428571428571429</v>
      </c>
      <c r="M14" s="511" t="s">
        <v>30</v>
      </c>
    </row>
    <row r="15" spans="1:19" ht="16.5" customHeight="1" x14ac:dyDescent="0.3">
      <c r="A15" s="352"/>
      <c r="B15" s="13"/>
      <c r="C15" s="14"/>
      <c r="D15" s="15"/>
      <c r="E15" s="15"/>
      <c r="F15" s="16">
        <v>45179</v>
      </c>
      <c r="G15" s="17">
        <v>45207</v>
      </c>
      <c r="H15" s="22"/>
      <c r="I15" s="19">
        <v>45225</v>
      </c>
      <c r="J15" s="19">
        <v>45268</v>
      </c>
      <c r="K15" s="23">
        <v>45308</v>
      </c>
      <c r="L15" s="24"/>
      <c r="M15" s="512"/>
      <c r="S15" s="26"/>
    </row>
    <row r="16" spans="1:19" ht="16.5" customHeight="1" x14ac:dyDescent="0.3">
      <c r="A16" s="352"/>
      <c r="B16" s="27"/>
      <c r="C16" s="28"/>
      <c r="D16" s="29"/>
      <c r="E16" s="29"/>
      <c r="F16" s="30" t="s">
        <v>31</v>
      </c>
      <c r="G16" s="31">
        <v>4</v>
      </c>
      <c r="H16" s="32"/>
      <c r="I16" s="33">
        <f t="shared" ref="I16" si="0">(I15-I14+1)/7</f>
        <v>0.42857142857142855</v>
      </c>
      <c r="J16" s="33">
        <f>(J15-J14+1)/7</f>
        <v>5.4285714285714288</v>
      </c>
      <c r="K16" s="34">
        <f>(K15-K14+1)/7</f>
        <v>6.1428571428571432</v>
      </c>
      <c r="L16" s="35"/>
      <c r="M16" s="513"/>
    </row>
    <row r="17" spans="1:20" ht="16.5" customHeight="1" x14ac:dyDescent="0.3">
      <c r="A17" s="352"/>
      <c r="B17" s="13" t="s">
        <v>32</v>
      </c>
      <c r="C17" s="14">
        <v>2</v>
      </c>
      <c r="D17" s="15">
        <v>16</v>
      </c>
      <c r="E17" s="15">
        <v>18</v>
      </c>
      <c r="F17" s="16">
        <v>45131</v>
      </c>
      <c r="G17" s="17">
        <v>45215</v>
      </c>
      <c r="H17" s="18">
        <v>45257</v>
      </c>
      <c r="I17" s="19">
        <v>45257</v>
      </c>
      <c r="J17" s="37">
        <v>45264</v>
      </c>
      <c r="K17" s="38">
        <v>45309</v>
      </c>
      <c r="L17" s="21">
        <f>(K18-H17+1)/7</f>
        <v>14.142857142857142</v>
      </c>
      <c r="M17" s="511" t="s">
        <v>33</v>
      </c>
      <c r="O17" s="26"/>
      <c r="S17" s="39"/>
    </row>
    <row r="18" spans="1:20" ht="16.5" customHeight="1" x14ac:dyDescent="0.3">
      <c r="A18" s="352"/>
      <c r="B18" s="13"/>
      <c r="C18" s="14"/>
      <c r="D18" s="15"/>
      <c r="E18" s="15"/>
      <c r="F18" s="16">
        <v>45214</v>
      </c>
      <c r="G18" s="17">
        <v>45242</v>
      </c>
      <c r="H18" s="22"/>
      <c r="I18" s="19">
        <v>45259</v>
      </c>
      <c r="J18" s="19">
        <v>45313</v>
      </c>
      <c r="K18" s="23">
        <v>45355</v>
      </c>
      <c r="L18" s="24"/>
      <c r="M18" s="512"/>
    </row>
    <row r="19" spans="1:20" ht="16.5" customHeight="1" x14ac:dyDescent="0.3">
      <c r="A19" s="352"/>
      <c r="B19" s="27"/>
      <c r="C19" s="28"/>
      <c r="D19" s="29"/>
      <c r="E19" s="29"/>
      <c r="F19" s="30" t="s">
        <v>31</v>
      </c>
      <c r="G19" s="31">
        <v>4</v>
      </c>
      <c r="H19" s="32"/>
      <c r="I19" s="33">
        <f t="shared" ref="I19" si="1">(I18-I17+1)/7</f>
        <v>0.42857142857142855</v>
      </c>
      <c r="J19" s="33">
        <f>(J18-J17+1)/7</f>
        <v>7.1428571428571432</v>
      </c>
      <c r="K19" s="34">
        <f>(K18-K17+1)/7</f>
        <v>6.7142857142857144</v>
      </c>
      <c r="L19" s="35"/>
      <c r="M19" s="513"/>
    </row>
    <row r="20" spans="1:20" ht="16.5" customHeight="1" x14ac:dyDescent="0.3">
      <c r="A20" s="352"/>
      <c r="B20" s="13" t="s">
        <v>34</v>
      </c>
      <c r="C20" s="14">
        <v>7</v>
      </c>
      <c r="D20" s="15">
        <v>11</v>
      </c>
      <c r="E20" s="15">
        <v>18</v>
      </c>
      <c r="F20" s="16">
        <v>45166</v>
      </c>
      <c r="G20" s="17">
        <v>45250</v>
      </c>
      <c r="H20" s="18">
        <v>45299</v>
      </c>
      <c r="I20" s="19">
        <v>45300</v>
      </c>
      <c r="J20" s="37">
        <v>45309</v>
      </c>
      <c r="K20" s="38">
        <v>45359</v>
      </c>
      <c r="L20" s="21">
        <f>(K21-H20+1)/7</f>
        <v>13.285714285714286</v>
      </c>
      <c r="M20" s="40" t="s">
        <v>35</v>
      </c>
      <c r="O20" s="26"/>
    </row>
    <row r="21" spans="1:20" ht="16.5" customHeight="1" x14ac:dyDescent="0.3">
      <c r="A21" s="352"/>
      <c r="B21" s="13"/>
      <c r="C21" s="14"/>
      <c r="D21" s="15"/>
      <c r="E21" s="15"/>
      <c r="F21" s="16">
        <v>45249</v>
      </c>
      <c r="G21" s="17">
        <v>45284</v>
      </c>
      <c r="H21" s="22"/>
      <c r="I21" s="19">
        <v>45302</v>
      </c>
      <c r="J21" s="19">
        <v>45359</v>
      </c>
      <c r="K21" s="23">
        <v>45391</v>
      </c>
      <c r="L21" s="24"/>
      <c r="M21" s="25" t="s">
        <v>36</v>
      </c>
    </row>
    <row r="22" spans="1:20" ht="16.5" customHeight="1" x14ac:dyDescent="0.3">
      <c r="A22" s="352"/>
      <c r="B22" s="27"/>
      <c r="C22" s="28"/>
      <c r="D22" s="29"/>
      <c r="E22" s="29"/>
      <c r="F22" s="30" t="s">
        <v>31</v>
      </c>
      <c r="G22" s="31">
        <v>5</v>
      </c>
      <c r="H22" s="32"/>
      <c r="I22" s="33">
        <f t="shared" ref="I22" si="2">(I21-I20+1)/7</f>
        <v>0.42857142857142855</v>
      </c>
      <c r="J22" s="33">
        <f>(J21-J20+1)/7</f>
        <v>7.2857142857142856</v>
      </c>
      <c r="K22" s="34">
        <f>(K21-K20+1)/7</f>
        <v>4.7142857142857144</v>
      </c>
      <c r="L22" s="35"/>
      <c r="M22" s="36"/>
    </row>
    <row r="23" spans="1:20" ht="16.5" customHeight="1" x14ac:dyDescent="0.3">
      <c r="A23" s="352"/>
      <c r="B23" s="41" t="s">
        <v>37</v>
      </c>
      <c r="C23" s="42">
        <v>2</v>
      </c>
      <c r="D23" s="43">
        <v>12</v>
      </c>
      <c r="E23" s="43">
        <v>14</v>
      </c>
      <c r="F23" s="44">
        <v>45203</v>
      </c>
      <c r="G23" s="45">
        <v>45285</v>
      </c>
      <c r="H23" s="18">
        <v>45348</v>
      </c>
      <c r="I23" s="19">
        <v>45349</v>
      </c>
      <c r="J23" s="37">
        <v>45358</v>
      </c>
      <c r="K23" s="38">
        <v>45393</v>
      </c>
      <c r="L23" s="21">
        <f>(K24-H23+1)/7</f>
        <v>9.5714285714285712</v>
      </c>
      <c r="M23" s="511" t="s">
        <v>38</v>
      </c>
      <c r="O23" s="26"/>
    </row>
    <row r="24" spans="1:20" ht="16.5" customHeight="1" x14ac:dyDescent="0.3">
      <c r="A24" s="352"/>
      <c r="B24" s="13"/>
      <c r="C24" s="14"/>
      <c r="D24" s="15"/>
      <c r="E24" s="15"/>
      <c r="F24" s="16">
        <v>45284</v>
      </c>
      <c r="G24" s="17">
        <v>45340</v>
      </c>
      <c r="H24" s="22"/>
      <c r="I24" s="19">
        <v>45351</v>
      </c>
      <c r="J24" s="19">
        <v>45391</v>
      </c>
      <c r="K24" s="23">
        <v>45414</v>
      </c>
      <c r="L24" s="24"/>
      <c r="M24" s="512"/>
    </row>
    <row r="25" spans="1:20" ht="16.5" customHeight="1" x14ac:dyDescent="0.3">
      <c r="A25" s="352"/>
      <c r="B25" s="27"/>
      <c r="C25" s="28"/>
      <c r="D25" s="29"/>
      <c r="E25" s="29"/>
      <c r="F25" s="30" t="s">
        <v>31</v>
      </c>
      <c r="G25" s="31">
        <v>8</v>
      </c>
      <c r="H25" s="32"/>
      <c r="I25" s="33">
        <f>(I24-I23+1)/7</f>
        <v>0.42857142857142855</v>
      </c>
      <c r="J25" s="33">
        <f>(J24-J23+1)/7</f>
        <v>4.8571428571428568</v>
      </c>
      <c r="K25" s="34">
        <f>(K24-K23+1)/7</f>
        <v>3.1428571428571428</v>
      </c>
      <c r="L25" s="35"/>
      <c r="M25" s="513"/>
    </row>
    <row r="26" spans="1:20" ht="16.5" customHeight="1" x14ac:dyDescent="0.3">
      <c r="A26" s="352"/>
      <c r="B26" s="13" t="s">
        <v>39</v>
      </c>
      <c r="C26" s="14">
        <v>0</v>
      </c>
      <c r="D26" s="15">
        <v>13</v>
      </c>
      <c r="E26" s="15">
        <v>13</v>
      </c>
      <c r="F26" s="16">
        <v>45236</v>
      </c>
      <c r="G26" s="17">
        <v>45320</v>
      </c>
      <c r="H26" s="46">
        <v>45383</v>
      </c>
      <c r="I26" s="19">
        <v>45384</v>
      </c>
      <c r="J26" s="19">
        <v>45390</v>
      </c>
      <c r="K26" s="20">
        <v>45422</v>
      </c>
      <c r="L26" s="24">
        <f>(K27-H26+1)/7</f>
        <v>8.2857142857142865</v>
      </c>
      <c r="M26" s="512" t="s">
        <v>40</v>
      </c>
      <c r="O26" s="26"/>
    </row>
    <row r="27" spans="1:20" ht="16.5" customHeight="1" x14ac:dyDescent="0.3">
      <c r="A27" s="352"/>
      <c r="B27" s="13"/>
      <c r="C27" s="14"/>
      <c r="D27" s="15"/>
      <c r="E27" s="15"/>
      <c r="F27" s="16">
        <v>45319</v>
      </c>
      <c r="G27" s="17">
        <v>45375</v>
      </c>
      <c r="H27" s="22"/>
      <c r="I27" s="19">
        <v>45386</v>
      </c>
      <c r="J27" s="19">
        <v>45426</v>
      </c>
      <c r="K27" s="23">
        <v>45440</v>
      </c>
      <c r="L27" s="24"/>
      <c r="M27" s="512"/>
    </row>
    <row r="28" spans="1:20" ht="16.5" customHeight="1" thickBot="1" x14ac:dyDescent="0.35">
      <c r="A28" s="353"/>
      <c r="B28" s="47"/>
      <c r="C28" s="48"/>
      <c r="D28" s="49"/>
      <c r="E28" s="49"/>
      <c r="F28" s="50" t="s">
        <v>31</v>
      </c>
      <c r="G28" s="51">
        <v>8</v>
      </c>
      <c r="H28" s="52"/>
      <c r="I28" s="53">
        <f>(I27-I26+1)/7</f>
        <v>0.42857142857142855</v>
      </c>
      <c r="J28" s="53">
        <f>(J27-J26+1)/7</f>
        <v>5.2857142857142856</v>
      </c>
      <c r="K28" s="54">
        <f>(K27-K26+1)/7</f>
        <v>2.7142857142857144</v>
      </c>
      <c r="L28" s="55"/>
      <c r="M28" s="514"/>
      <c r="Q28" s="39"/>
      <c r="R28" s="350" t="s">
        <v>91</v>
      </c>
      <c r="S28" s="350"/>
      <c r="T28" s="350"/>
    </row>
    <row r="29" spans="1:20" ht="24" customHeight="1" thickBot="1" x14ac:dyDescent="0.35">
      <c r="A29" s="343" t="s">
        <v>10</v>
      </c>
      <c r="B29" s="344"/>
      <c r="C29" s="56">
        <f>SUM(C14:C28)</f>
        <v>25</v>
      </c>
      <c r="D29" s="57">
        <f>SUM(D14:D28)</f>
        <v>56</v>
      </c>
      <c r="E29" s="58">
        <f>SUM(E14:E28)</f>
        <v>81</v>
      </c>
      <c r="F29" s="59" t="s">
        <v>41</v>
      </c>
      <c r="G29" s="60"/>
      <c r="H29" s="480" t="s">
        <v>42</v>
      </c>
      <c r="I29" s="481"/>
      <c r="J29" s="481"/>
      <c r="K29" s="482"/>
      <c r="L29" s="61">
        <f>AVERAGE(L14:L28)</f>
        <v>11.542857142857141</v>
      </c>
      <c r="M29" s="62" t="s">
        <v>41</v>
      </c>
      <c r="O29" s="350" t="s">
        <v>43</v>
      </c>
      <c r="P29" s="350"/>
      <c r="R29" s="5" t="s">
        <v>89</v>
      </c>
      <c r="S29" s="5" t="s">
        <v>90</v>
      </c>
      <c r="T29" s="5" t="s">
        <v>92</v>
      </c>
    </row>
    <row r="30" spans="1:20" ht="15" customHeight="1" x14ac:dyDescent="0.3">
      <c r="A30" s="351" t="s">
        <v>44</v>
      </c>
      <c r="B30" s="63" t="s">
        <v>45</v>
      </c>
      <c r="C30" s="64">
        <v>7</v>
      </c>
      <c r="D30" s="64">
        <v>9</v>
      </c>
      <c r="E30" s="65">
        <f>C30+D30</f>
        <v>16</v>
      </c>
      <c r="F30" s="66">
        <v>45299</v>
      </c>
      <c r="G30" s="17">
        <v>45383</v>
      </c>
      <c r="H30" s="67">
        <v>45404</v>
      </c>
      <c r="I30" s="68">
        <v>45405</v>
      </c>
      <c r="J30" s="68">
        <v>45421</v>
      </c>
      <c r="K30" s="69">
        <v>45455</v>
      </c>
      <c r="L30" s="70">
        <f>(K31-H30+1)/7</f>
        <v>11.428571428571429</v>
      </c>
      <c r="M30" s="479" t="s">
        <v>46</v>
      </c>
      <c r="N30" s="71"/>
      <c r="O30" s="5" t="s">
        <v>47</v>
      </c>
      <c r="P30" s="72">
        <f>AVERAGE(I32,I35,I38,I41,I44,I47,I50,I53,I56,I62)</f>
        <v>0.42857142857142849</v>
      </c>
      <c r="Q30" s="5">
        <v>1</v>
      </c>
      <c r="R30" s="5">
        <v>4</v>
      </c>
      <c r="S30" s="5">
        <v>3</v>
      </c>
      <c r="T30" s="5">
        <f>R30+S30</f>
        <v>7</v>
      </c>
    </row>
    <row r="31" spans="1:20" ht="15" customHeight="1" x14ac:dyDescent="0.3">
      <c r="A31" s="352"/>
      <c r="B31" s="13"/>
      <c r="C31" s="14"/>
      <c r="D31" s="14"/>
      <c r="E31" s="15"/>
      <c r="F31" s="16">
        <v>45382</v>
      </c>
      <c r="G31" s="17">
        <v>45403</v>
      </c>
      <c r="H31" s="22"/>
      <c r="I31" s="19">
        <v>45407</v>
      </c>
      <c r="J31" s="19">
        <v>45460</v>
      </c>
      <c r="K31" s="23">
        <v>45483</v>
      </c>
      <c r="L31" s="24"/>
      <c r="M31" s="474"/>
      <c r="N31" s="71"/>
      <c r="O31" s="5" t="s">
        <v>48</v>
      </c>
      <c r="P31" s="72">
        <f>AVERAGE(J32,J35,J38,J41,J44,J47,J50,J53,J56,J62)</f>
        <v>5.3</v>
      </c>
      <c r="Q31" s="5">
        <v>6</v>
      </c>
    </row>
    <row r="32" spans="1:20" ht="15" customHeight="1" x14ac:dyDescent="0.3">
      <c r="A32" s="352"/>
      <c r="B32" s="27"/>
      <c r="C32" s="28"/>
      <c r="D32" s="28"/>
      <c r="E32" s="29"/>
      <c r="F32" s="73">
        <v>12</v>
      </c>
      <c r="G32" s="74">
        <v>3</v>
      </c>
      <c r="H32" s="32"/>
      <c r="I32" s="33">
        <f>(I31-I30+1)/7</f>
        <v>0.42857142857142855</v>
      </c>
      <c r="J32" s="33">
        <f>(J31-J30+1)/7</f>
        <v>5.7142857142857144</v>
      </c>
      <c r="K32" s="34">
        <f>(K31-K30+1)/7</f>
        <v>4.1428571428571432</v>
      </c>
      <c r="L32" s="35"/>
      <c r="M32" s="475"/>
      <c r="N32" s="71"/>
      <c r="O32" s="5" t="s">
        <v>49</v>
      </c>
      <c r="P32" s="72">
        <f>AVERAGE(K32,K35,K38,K41,K44,K47,K50,K53,K56,K62)</f>
        <v>4.9000000000000004</v>
      </c>
      <c r="Q32" s="5">
        <v>5</v>
      </c>
    </row>
    <row r="33" spans="1:20" ht="15" customHeight="1" x14ac:dyDescent="0.3">
      <c r="A33" s="352"/>
      <c r="B33" s="13" t="s">
        <v>50</v>
      </c>
      <c r="C33" s="14">
        <v>15</v>
      </c>
      <c r="D33" s="14"/>
      <c r="E33" s="15">
        <f>C33+D33</f>
        <v>15</v>
      </c>
      <c r="F33" s="75">
        <v>45327</v>
      </c>
      <c r="G33" s="17">
        <v>45411</v>
      </c>
      <c r="H33" s="46">
        <v>45446</v>
      </c>
      <c r="I33" s="19">
        <v>45447</v>
      </c>
      <c r="J33" s="19">
        <v>45455</v>
      </c>
      <c r="K33" s="20">
        <v>45490</v>
      </c>
      <c r="L33" s="24">
        <f>(K34-H33+1)/7</f>
        <v>10.285714285714286</v>
      </c>
      <c r="M33" s="476" t="s">
        <v>51</v>
      </c>
      <c r="P33" s="76"/>
      <c r="Q33" s="39"/>
      <c r="R33" s="5">
        <v>9</v>
      </c>
      <c r="S33" s="5">
        <v>6</v>
      </c>
      <c r="T33" s="5">
        <f>R33+S33</f>
        <v>15</v>
      </c>
    </row>
    <row r="34" spans="1:20" ht="15" customHeight="1" x14ac:dyDescent="0.3">
      <c r="A34" s="352"/>
      <c r="B34" s="13"/>
      <c r="C34" s="14"/>
      <c r="D34" s="14"/>
      <c r="E34" s="15"/>
      <c r="F34" s="16">
        <v>45410</v>
      </c>
      <c r="G34" s="17">
        <v>45445</v>
      </c>
      <c r="H34" s="22"/>
      <c r="I34" s="19">
        <v>45448</v>
      </c>
      <c r="J34" s="19">
        <v>45491</v>
      </c>
      <c r="K34" s="23">
        <v>45517</v>
      </c>
      <c r="L34" s="24"/>
      <c r="M34" s="474"/>
    </row>
    <row r="35" spans="1:20" ht="15" customHeight="1" x14ac:dyDescent="0.3">
      <c r="A35" s="352"/>
      <c r="B35" s="27"/>
      <c r="C35" s="28"/>
      <c r="D35" s="28"/>
      <c r="E35" s="29"/>
      <c r="F35" s="73">
        <v>12</v>
      </c>
      <c r="G35" s="74">
        <v>5</v>
      </c>
      <c r="H35" s="32"/>
      <c r="I35" s="33">
        <f>(I34-I33+1)/7</f>
        <v>0.2857142857142857</v>
      </c>
      <c r="J35" s="33">
        <f>(J34-J33+1)/7</f>
        <v>5.2857142857142856</v>
      </c>
      <c r="K35" s="34">
        <f>(K34-K33+1)/7</f>
        <v>4</v>
      </c>
      <c r="L35" s="35"/>
      <c r="M35" s="475"/>
      <c r="P35" s="39"/>
    </row>
    <row r="36" spans="1:20" ht="15" customHeight="1" x14ac:dyDescent="0.3">
      <c r="A36" s="352"/>
      <c r="B36" s="13" t="s">
        <v>52</v>
      </c>
      <c r="C36" s="14">
        <v>14</v>
      </c>
      <c r="D36" s="14"/>
      <c r="E36" s="15">
        <v>14</v>
      </c>
      <c r="F36" s="75">
        <v>45355</v>
      </c>
      <c r="G36" s="17">
        <v>45439</v>
      </c>
      <c r="H36" s="18">
        <v>45481</v>
      </c>
      <c r="I36" s="19">
        <v>45482</v>
      </c>
      <c r="J36" s="19">
        <v>45489</v>
      </c>
      <c r="K36" s="20">
        <v>45525</v>
      </c>
      <c r="L36" s="21">
        <f>(K37-H36+1)/7</f>
        <v>13.142857142857142</v>
      </c>
      <c r="M36" s="476" t="s">
        <v>53</v>
      </c>
      <c r="O36" s="39"/>
      <c r="R36" s="5">
        <v>9</v>
      </c>
      <c r="S36" s="5">
        <v>6</v>
      </c>
      <c r="T36" s="5">
        <f>R36+S36</f>
        <v>15</v>
      </c>
    </row>
    <row r="37" spans="1:20" ht="15" customHeight="1" x14ac:dyDescent="0.3">
      <c r="A37" s="352"/>
      <c r="B37" s="13"/>
      <c r="C37" s="14"/>
      <c r="D37" s="14"/>
      <c r="E37" s="15"/>
      <c r="F37" s="16">
        <v>45438</v>
      </c>
      <c r="G37" s="17">
        <v>45480</v>
      </c>
      <c r="H37" s="22"/>
      <c r="I37" s="19">
        <v>45484</v>
      </c>
      <c r="J37" s="19">
        <v>45527</v>
      </c>
      <c r="K37" s="23">
        <v>45572</v>
      </c>
      <c r="L37" s="24"/>
      <c r="M37" s="474"/>
      <c r="O37" s="77">
        <v>9.6999999999999993</v>
      </c>
      <c r="P37" s="5">
        <v>13.1</v>
      </c>
      <c r="Q37" s="77">
        <f>O37-P37</f>
        <v>-3.4000000000000004</v>
      </c>
      <c r="R37" s="77"/>
    </row>
    <row r="38" spans="1:20" ht="15" customHeight="1" x14ac:dyDescent="0.3">
      <c r="A38" s="352"/>
      <c r="B38" s="27"/>
      <c r="C38" s="28"/>
      <c r="D38" s="28"/>
      <c r="E38" s="29"/>
      <c r="F38" s="73">
        <v>12</v>
      </c>
      <c r="G38" s="74">
        <v>6</v>
      </c>
      <c r="H38" s="32"/>
      <c r="I38" s="33">
        <f t="shared" ref="I38" si="3">(I37-I36+1)/7</f>
        <v>0.42857142857142855</v>
      </c>
      <c r="J38" s="33">
        <f>(J37-J36+1)/7</f>
        <v>5.5714285714285712</v>
      </c>
      <c r="K38" s="34">
        <f>(K37-K36+1)/7</f>
        <v>6.8571428571428568</v>
      </c>
      <c r="L38" s="35"/>
      <c r="M38" s="475"/>
      <c r="O38" s="77">
        <v>11.1</v>
      </c>
      <c r="P38" s="77">
        <v>15.1</v>
      </c>
      <c r="Q38" s="77">
        <f t="shared" ref="Q38:Q43" si="4">O38-P38</f>
        <v>-4</v>
      </c>
      <c r="R38" s="77"/>
    </row>
    <row r="39" spans="1:20" ht="15" customHeight="1" x14ac:dyDescent="0.3">
      <c r="A39" s="352"/>
      <c r="B39" s="13" t="s">
        <v>54</v>
      </c>
      <c r="C39" s="14">
        <v>18</v>
      </c>
      <c r="D39" s="14"/>
      <c r="E39" s="15">
        <f t="shared" ref="E39" si="5">C39+D39</f>
        <v>18</v>
      </c>
      <c r="F39" s="75">
        <v>45386</v>
      </c>
      <c r="G39" s="17">
        <v>45474</v>
      </c>
      <c r="H39" s="18">
        <v>45523</v>
      </c>
      <c r="I39" s="19">
        <v>45524</v>
      </c>
      <c r="J39" s="19">
        <v>45528</v>
      </c>
      <c r="K39" s="20">
        <v>45567</v>
      </c>
      <c r="L39" s="21">
        <f>(K40-H39+1)/7</f>
        <v>12.571428571428571</v>
      </c>
      <c r="M39" s="476" t="s">
        <v>55</v>
      </c>
      <c r="O39" s="77">
        <v>10.7</v>
      </c>
      <c r="P39" s="77">
        <v>15.1</v>
      </c>
      <c r="Q39" s="77">
        <f t="shared" si="4"/>
        <v>-4.4000000000000004</v>
      </c>
      <c r="R39" s="5">
        <v>8</v>
      </c>
      <c r="S39" s="5">
        <v>10</v>
      </c>
      <c r="T39" s="5">
        <f>R39+S39</f>
        <v>18</v>
      </c>
    </row>
    <row r="40" spans="1:20" ht="15" customHeight="1" x14ac:dyDescent="0.3">
      <c r="A40" s="352"/>
      <c r="B40" s="13"/>
      <c r="C40" s="14"/>
      <c r="D40" s="14"/>
      <c r="E40" s="15"/>
      <c r="F40" s="16">
        <v>45473</v>
      </c>
      <c r="G40" s="17">
        <v>45522</v>
      </c>
      <c r="H40" s="22"/>
      <c r="I40" s="19">
        <v>45526</v>
      </c>
      <c r="J40" s="19">
        <v>45573</v>
      </c>
      <c r="K40" s="23">
        <v>45610</v>
      </c>
      <c r="L40" s="24"/>
      <c r="M40" s="474"/>
      <c r="O40" s="77">
        <v>10.3</v>
      </c>
      <c r="P40" s="77">
        <v>14.7</v>
      </c>
      <c r="Q40" s="77">
        <f t="shared" si="4"/>
        <v>-4.3999999999999986</v>
      </c>
      <c r="R40" s="77"/>
    </row>
    <row r="41" spans="1:20" ht="15" customHeight="1" x14ac:dyDescent="0.3">
      <c r="A41" s="352"/>
      <c r="B41" s="27"/>
      <c r="C41" s="28"/>
      <c r="D41" s="28"/>
      <c r="E41" s="29"/>
      <c r="F41" s="73">
        <v>12</v>
      </c>
      <c r="G41" s="74">
        <v>7</v>
      </c>
      <c r="H41" s="32"/>
      <c r="I41" s="33">
        <f t="shared" ref="I41" si="6">(I40-I39+1)/7</f>
        <v>0.42857142857142855</v>
      </c>
      <c r="J41" s="33">
        <f>(J40-J39+1)/7</f>
        <v>6.5714285714285712</v>
      </c>
      <c r="K41" s="34">
        <f>(K40-K39+1)/7</f>
        <v>6.2857142857142856</v>
      </c>
      <c r="L41" s="35"/>
      <c r="M41" s="475"/>
      <c r="O41" s="77">
        <v>7.7</v>
      </c>
      <c r="P41" s="77">
        <v>10.7</v>
      </c>
      <c r="Q41" s="77">
        <f t="shared" si="4"/>
        <v>-2.9999999999999991</v>
      </c>
      <c r="R41" s="77"/>
    </row>
    <row r="42" spans="1:20" ht="15" customHeight="1" x14ac:dyDescent="0.3">
      <c r="A42" s="352"/>
      <c r="B42" s="13" t="s">
        <v>56</v>
      </c>
      <c r="C42" s="14">
        <v>16</v>
      </c>
      <c r="D42" s="14"/>
      <c r="E42" s="15">
        <f t="shared" ref="E42" si="7">C42+D42</f>
        <v>16</v>
      </c>
      <c r="F42" s="75">
        <v>45418</v>
      </c>
      <c r="G42" s="17">
        <v>45502</v>
      </c>
      <c r="H42" s="18">
        <v>45558</v>
      </c>
      <c r="I42" s="19">
        <v>45559</v>
      </c>
      <c r="J42" s="37">
        <v>45572</v>
      </c>
      <c r="K42" s="38">
        <v>45609</v>
      </c>
      <c r="L42" s="21">
        <f>(K43-H42+1)/7</f>
        <v>12.142857142857142</v>
      </c>
      <c r="M42" s="476" t="s">
        <v>57</v>
      </c>
      <c r="O42" s="77">
        <v>9.6999999999999993</v>
      </c>
      <c r="P42" s="77">
        <v>9.6999999999999993</v>
      </c>
      <c r="Q42" s="77">
        <f t="shared" si="4"/>
        <v>0</v>
      </c>
      <c r="R42" s="5">
        <v>9</v>
      </c>
      <c r="S42" s="5">
        <v>7</v>
      </c>
      <c r="T42" s="5">
        <f>R42+S42</f>
        <v>16</v>
      </c>
    </row>
    <row r="43" spans="1:20" ht="15" customHeight="1" x14ac:dyDescent="0.3">
      <c r="A43" s="352"/>
      <c r="B43" s="13"/>
      <c r="C43" s="14"/>
      <c r="D43" s="14"/>
      <c r="E43" s="15"/>
      <c r="F43" s="16">
        <v>45501</v>
      </c>
      <c r="G43" s="17">
        <v>45557</v>
      </c>
      <c r="H43" s="22"/>
      <c r="I43" s="19">
        <v>45562</v>
      </c>
      <c r="J43" s="19">
        <v>45609</v>
      </c>
      <c r="K43" s="23">
        <v>45642</v>
      </c>
      <c r="L43" s="24"/>
      <c r="M43" s="474"/>
      <c r="O43" s="77">
        <v>9.6</v>
      </c>
      <c r="P43" s="77">
        <v>9.6</v>
      </c>
      <c r="Q43" s="77">
        <f t="shared" si="4"/>
        <v>0</v>
      </c>
      <c r="R43" s="77"/>
    </row>
    <row r="44" spans="1:20" ht="15" customHeight="1" x14ac:dyDescent="0.3">
      <c r="A44" s="352"/>
      <c r="B44" s="27"/>
      <c r="C44" s="28"/>
      <c r="D44" s="28"/>
      <c r="E44" s="29"/>
      <c r="F44" s="73">
        <v>12</v>
      </c>
      <c r="G44" s="74">
        <v>8</v>
      </c>
      <c r="H44" s="32"/>
      <c r="I44" s="33">
        <f t="shared" ref="I44" si="8">(I43-I42+1)/7</f>
        <v>0.5714285714285714</v>
      </c>
      <c r="J44" s="33">
        <f>(J43-J42+1)/7</f>
        <v>5.4285714285714288</v>
      </c>
      <c r="K44" s="34">
        <f>(K43-K42+1)/7</f>
        <v>4.8571428571428568</v>
      </c>
      <c r="L44" s="35"/>
      <c r="M44" s="475"/>
      <c r="O44" s="77"/>
      <c r="P44" s="77"/>
      <c r="Q44" s="77"/>
      <c r="R44" s="77"/>
    </row>
    <row r="45" spans="1:20" ht="15" customHeight="1" x14ac:dyDescent="0.3">
      <c r="A45" s="352"/>
      <c r="B45" s="13" t="s">
        <v>58</v>
      </c>
      <c r="C45" s="14">
        <v>13</v>
      </c>
      <c r="D45" s="14">
        <v>3</v>
      </c>
      <c r="E45" s="15">
        <f t="shared" ref="E45" si="9">C45+D45</f>
        <v>16</v>
      </c>
      <c r="F45" s="75">
        <v>45446</v>
      </c>
      <c r="G45" s="17">
        <v>45530</v>
      </c>
      <c r="H45" s="18">
        <v>45600</v>
      </c>
      <c r="I45" s="19">
        <v>45601</v>
      </c>
      <c r="J45" s="37">
        <v>45608</v>
      </c>
      <c r="K45" s="38">
        <v>45643</v>
      </c>
      <c r="L45" s="21">
        <f>(K46-H45+1)/7</f>
        <v>13.714285714285714</v>
      </c>
      <c r="M45" s="515" t="s">
        <v>59</v>
      </c>
      <c r="O45" s="77"/>
      <c r="P45" s="77"/>
      <c r="Q45" s="77"/>
      <c r="R45" s="5">
        <v>6</v>
      </c>
      <c r="S45" s="5">
        <v>7</v>
      </c>
      <c r="T45" s="5">
        <f>R45+S45</f>
        <v>13</v>
      </c>
    </row>
    <row r="46" spans="1:20" ht="15" customHeight="1" x14ac:dyDescent="0.3">
      <c r="A46" s="352"/>
      <c r="B46" s="13"/>
      <c r="C46" s="14"/>
      <c r="D46" s="14"/>
      <c r="E46" s="15"/>
      <c r="F46" s="16">
        <v>45529</v>
      </c>
      <c r="G46" s="17">
        <v>45599</v>
      </c>
      <c r="H46" s="78"/>
      <c r="I46" s="19">
        <v>45603</v>
      </c>
      <c r="J46" s="19">
        <v>45643</v>
      </c>
      <c r="K46" s="79">
        <v>45695</v>
      </c>
      <c r="L46" s="24"/>
      <c r="M46" s="516"/>
      <c r="O46" s="77"/>
      <c r="P46" s="77"/>
      <c r="Q46" s="77"/>
      <c r="R46" s="77"/>
    </row>
    <row r="47" spans="1:20" ht="15" customHeight="1" x14ac:dyDescent="0.3">
      <c r="A47" s="352"/>
      <c r="B47" s="27"/>
      <c r="C47" s="28"/>
      <c r="D47" s="28"/>
      <c r="E47" s="29"/>
      <c r="F47" s="73">
        <v>12</v>
      </c>
      <c r="G47" s="74">
        <v>10</v>
      </c>
      <c r="H47" s="80"/>
      <c r="I47" s="33">
        <f t="shared" ref="I47" si="10">(I46-I45+1)/7</f>
        <v>0.42857142857142855</v>
      </c>
      <c r="J47" s="33">
        <f>(J46-J45+1)/7</f>
        <v>5.1428571428571432</v>
      </c>
      <c r="K47" s="81">
        <f>(K46-K45+1)/7</f>
        <v>7.5714285714285712</v>
      </c>
      <c r="L47" s="35"/>
      <c r="M47" s="517"/>
      <c r="O47" s="77"/>
      <c r="P47" s="77"/>
      <c r="Q47" s="77"/>
      <c r="R47" s="77"/>
    </row>
    <row r="48" spans="1:20" ht="15" customHeight="1" x14ac:dyDescent="0.3">
      <c r="A48" s="352"/>
      <c r="B48" s="41" t="s">
        <v>60</v>
      </c>
      <c r="C48" s="42">
        <v>8</v>
      </c>
      <c r="D48" s="42">
        <v>8</v>
      </c>
      <c r="E48" s="15">
        <f t="shared" ref="E48" si="11">C48+D48</f>
        <v>16</v>
      </c>
      <c r="F48" s="82">
        <v>45481</v>
      </c>
      <c r="G48" s="17">
        <v>45565</v>
      </c>
      <c r="H48" s="18">
        <v>45635</v>
      </c>
      <c r="I48" s="19">
        <v>45636</v>
      </c>
      <c r="J48" s="37">
        <v>45643</v>
      </c>
      <c r="K48" s="83">
        <v>45698</v>
      </c>
      <c r="L48" s="21">
        <f>(K49-H48+1)/7</f>
        <v>12.714285714285714</v>
      </c>
      <c r="M48" s="518" t="s">
        <v>61</v>
      </c>
      <c r="O48" s="77"/>
      <c r="P48" s="77"/>
      <c r="Q48" s="77"/>
      <c r="R48" s="5">
        <v>7</v>
      </c>
      <c r="S48" s="5">
        <v>1</v>
      </c>
      <c r="T48" s="5">
        <f>R48+S48</f>
        <v>8</v>
      </c>
    </row>
    <row r="49" spans="1:20" ht="15" customHeight="1" x14ac:dyDescent="0.3">
      <c r="A49" s="352"/>
      <c r="B49" s="13"/>
      <c r="C49" s="14"/>
      <c r="D49" s="14"/>
      <c r="E49" s="15"/>
      <c r="F49" s="16">
        <v>45564</v>
      </c>
      <c r="G49" s="17">
        <v>45641</v>
      </c>
      <c r="H49" s="78"/>
      <c r="I49" s="19">
        <v>45638</v>
      </c>
      <c r="J49" s="84">
        <v>45681</v>
      </c>
      <c r="K49" s="85">
        <v>45723</v>
      </c>
      <c r="L49" s="24"/>
      <c r="M49" s="516"/>
      <c r="O49" s="77"/>
      <c r="P49" s="77"/>
      <c r="Q49" s="77"/>
      <c r="R49" s="77"/>
    </row>
    <row r="50" spans="1:20" ht="15" customHeight="1" x14ac:dyDescent="0.3">
      <c r="A50" s="352"/>
      <c r="B50" s="27"/>
      <c r="C50" s="28"/>
      <c r="D50" s="28"/>
      <c r="E50" s="29"/>
      <c r="F50" s="73">
        <v>12</v>
      </c>
      <c r="G50" s="74">
        <v>11</v>
      </c>
      <c r="H50" s="80"/>
      <c r="I50" s="33">
        <f>(I49-I48+1)/7</f>
        <v>0.42857142857142855</v>
      </c>
      <c r="J50" s="86">
        <f>(J49-J48+1)/7</f>
        <v>5.5714285714285712</v>
      </c>
      <c r="K50" s="87">
        <f>(K49-K48+1)/7</f>
        <v>3.7142857142857144</v>
      </c>
      <c r="L50" s="35"/>
      <c r="M50" s="517"/>
      <c r="O50" s="77"/>
      <c r="P50" s="77"/>
      <c r="Q50" s="77"/>
      <c r="R50" s="77"/>
    </row>
    <row r="51" spans="1:20" ht="15" customHeight="1" x14ac:dyDescent="0.3">
      <c r="A51" s="352"/>
      <c r="B51" s="13" t="s">
        <v>62</v>
      </c>
      <c r="C51" s="14"/>
      <c r="D51" s="14">
        <v>12</v>
      </c>
      <c r="E51" s="15">
        <f t="shared" ref="E51" si="12">C51+D51</f>
        <v>12</v>
      </c>
      <c r="F51" s="75">
        <v>45509</v>
      </c>
      <c r="G51" s="17">
        <v>45593</v>
      </c>
      <c r="H51" s="88">
        <v>45677</v>
      </c>
      <c r="I51" s="84">
        <v>45678</v>
      </c>
      <c r="J51" s="84">
        <v>45691</v>
      </c>
      <c r="K51" s="89">
        <v>45721</v>
      </c>
      <c r="L51" s="24">
        <f>(K52-H51+1)/7</f>
        <v>9.7142857142857135</v>
      </c>
      <c r="M51" s="516" t="s">
        <v>63</v>
      </c>
      <c r="O51" s="77"/>
      <c r="P51" s="77"/>
      <c r="Q51" s="77"/>
    </row>
    <row r="52" spans="1:20" ht="15" customHeight="1" x14ac:dyDescent="0.3">
      <c r="A52" s="352"/>
      <c r="B52" s="13"/>
      <c r="C52" s="14"/>
      <c r="D52" s="14"/>
      <c r="E52" s="15"/>
      <c r="F52" s="16">
        <v>45592</v>
      </c>
      <c r="G52" s="17">
        <v>45676</v>
      </c>
      <c r="H52" s="78"/>
      <c r="I52" s="84">
        <v>45680</v>
      </c>
      <c r="J52" s="84">
        <v>45716</v>
      </c>
      <c r="K52" s="85">
        <v>45744</v>
      </c>
      <c r="L52" s="24"/>
      <c r="M52" s="516"/>
      <c r="O52" s="77"/>
      <c r="P52" s="77"/>
      <c r="Q52" s="77"/>
      <c r="R52" s="77"/>
    </row>
    <row r="53" spans="1:20" ht="15" customHeight="1" x14ac:dyDescent="0.3">
      <c r="A53" s="352"/>
      <c r="B53" s="27"/>
      <c r="C53" s="28"/>
      <c r="D53" s="28"/>
      <c r="E53" s="29"/>
      <c r="F53" s="73">
        <v>12</v>
      </c>
      <c r="G53" s="74">
        <v>12</v>
      </c>
      <c r="H53" s="80"/>
      <c r="I53" s="86">
        <f>(I52-I51+1)/7</f>
        <v>0.42857142857142855</v>
      </c>
      <c r="J53" s="86">
        <f>(J52-J51+1)/7</f>
        <v>3.7142857142857144</v>
      </c>
      <c r="K53" s="87">
        <f>(K52-K51+1)/7</f>
        <v>3.4285714285714284</v>
      </c>
      <c r="L53" s="35"/>
      <c r="M53" s="517"/>
      <c r="O53" s="77"/>
      <c r="P53" s="77"/>
      <c r="Q53" s="77"/>
      <c r="R53" s="77"/>
    </row>
    <row r="54" spans="1:20" ht="15" customHeight="1" x14ac:dyDescent="0.3">
      <c r="A54" s="352"/>
      <c r="B54" s="41" t="s">
        <v>64</v>
      </c>
      <c r="C54" s="42"/>
      <c r="D54" s="42">
        <v>9</v>
      </c>
      <c r="E54" s="15">
        <f t="shared" ref="E54" si="13">C54+D54</f>
        <v>9</v>
      </c>
      <c r="F54" s="82">
        <v>45572</v>
      </c>
      <c r="G54" s="17">
        <v>45656</v>
      </c>
      <c r="H54" s="90">
        <v>45712</v>
      </c>
      <c r="I54" s="91">
        <v>45713</v>
      </c>
      <c r="J54" s="91">
        <v>45720</v>
      </c>
      <c r="K54" s="83">
        <v>45754</v>
      </c>
      <c r="L54" s="21">
        <f>(K55-H54+1)/7</f>
        <v>9.4285714285714288</v>
      </c>
      <c r="M54" s="518" t="s">
        <v>65</v>
      </c>
      <c r="O54" s="77"/>
      <c r="P54" s="77"/>
      <c r="Q54" s="77"/>
    </row>
    <row r="55" spans="1:20" ht="15" customHeight="1" x14ac:dyDescent="0.3">
      <c r="A55" s="352"/>
      <c r="B55" s="13"/>
      <c r="C55" s="14"/>
      <c r="D55" s="14"/>
      <c r="E55" s="15"/>
      <c r="F55" s="16">
        <v>45655</v>
      </c>
      <c r="G55" s="17">
        <v>45704</v>
      </c>
      <c r="H55" s="92"/>
      <c r="I55" s="84">
        <v>45715</v>
      </c>
      <c r="J55" s="84">
        <v>45751</v>
      </c>
      <c r="K55" s="85">
        <v>45777</v>
      </c>
      <c r="L55" s="24"/>
      <c r="M55" s="516"/>
    </row>
    <row r="56" spans="1:20" ht="15" customHeight="1" x14ac:dyDescent="0.3">
      <c r="A56" s="352"/>
      <c r="B56" s="27"/>
      <c r="C56" s="28"/>
      <c r="D56" s="28"/>
      <c r="E56" s="29"/>
      <c r="F56" s="73">
        <v>12</v>
      </c>
      <c r="G56" s="74">
        <v>7</v>
      </c>
      <c r="H56" s="93"/>
      <c r="I56" s="86">
        <f>(I55-I54+1)/7</f>
        <v>0.42857142857142855</v>
      </c>
      <c r="J56" s="86">
        <f>(J55-J54+1)/7</f>
        <v>4.5714285714285712</v>
      </c>
      <c r="K56" s="87">
        <f>(K55-K54+1)/7</f>
        <v>3.4285714285714284</v>
      </c>
      <c r="L56" s="35"/>
      <c r="M56" s="517"/>
    </row>
    <row r="57" spans="1:20" ht="15" customHeight="1" x14ac:dyDescent="0.3">
      <c r="A57" s="352"/>
      <c r="B57" s="41" t="s">
        <v>66</v>
      </c>
      <c r="C57" s="42">
        <v>4</v>
      </c>
      <c r="D57" s="42"/>
      <c r="E57" s="15">
        <f t="shared" ref="E57" si="14">C57+D57</f>
        <v>4</v>
      </c>
      <c r="F57" s="82"/>
      <c r="G57" s="17"/>
      <c r="H57" s="90">
        <v>45726</v>
      </c>
      <c r="I57" s="91">
        <v>45727</v>
      </c>
      <c r="J57" s="91">
        <v>45733</v>
      </c>
      <c r="K57" s="83">
        <v>45784</v>
      </c>
      <c r="L57" s="21">
        <f>(K58-H57+1)/7</f>
        <v>9.7142857142857135</v>
      </c>
      <c r="M57" s="518" t="s">
        <v>65</v>
      </c>
      <c r="R57" s="5">
        <v>4</v>
      </c>
      <c r="T57" s="5">
        <f>R57+S57</f>
        <v>4</v>
      </c>
    </row>
    <row r="58" spans="1:20" ht="15" customHeight="1" x14ac:dyDescent="0.3">
      <c r="A58" s="352"/>
      <c r="B58" s="13"/>
      <c r="C58" s="14"/>
      <c r="D58" s="14"/>
      <c r="E58" s="15"/>
      <c r="F58" s="16"/>
      <c r="G58" s="17"/>
      <c r="H58" s="92"/>
      <c r="I58" s="84">
        <v>45729</v>
      </c>
      <c r="J58" s="84">
        <v>45758</v>
      </c>
      <c r="K58" s="85">
        <v>45793</v>
      </c>
      <c r="L58" s="24"/>
      <c r="M58" s="516"/>
    </row>
    <row r="59" spans="1:20" ht="15" customHeight="1" x14ac:dyDescent="0.3">
      <c r="A59" s="352"/>
      <c r="B59" s="27"/>
      <c r="C59" s="28"/>
      <c r="D59" s="28"/>
      <c r="E59" s="29"/>
      <c r="F59" s="73"/>
      <c r="G59" s="74"/>
      <c r="H59" s="93"/>
      <c r="I59" s="86">
        <f>(I58-I57+1)/7</f>
        <v>0.42857142857142855</v>
      </c>
      <c r="J59" s="86">
        <f>(J58-J57+1)/7</f>
        <v>3.7142857142857144</v>
      </c>
      <c r="K59" s="87">
        <f>(K58-K57+1)/7</f>
        <v>1.4285714285714286</v>
      </c>
      <c r="L59" s="35"/>
      <c r="M59" s="517"/>
    </row>
    <row r="60" spans="1:20" ht="15" customHeight="1" x14ac:dyDescent="0.3">
      <c r="A60" s="352"/>
      <c r="B60" s="41" t="s">
        <v>67</v>
      </c>
      <c r="C60" s="42"/>
      <c r="D60" s="42">
        <v>16</v>
      </c>
      <c r="E60" s="15">
        <f t="shared" ref="E60" si="15">C60+D60</f>
        <v>16</v>
      </c>
      <c r="F60" s="82">
        <v>45600</v>
      </c>
      <c r="G60" s="17">
        <v>45684</v>
      </c>
      <c r="H60" s="90">
        <v>45747</v>
      </c>
      <c r="I60" s="91">
        <v>45748</v>
      </c>
      <c r="J60" s="91">
        <v>45756</v>
      </c>
      <c r="K60" s="83">
        <v>45796</v>
      </c>
      <c r="L60" s="21">
        <f>(K61-H60+1)/7</f>
        <v>11.714285714285714</v>
      </c>
      <c r="M60" s="518" t="s">
        <v>68</v>
      </c>
    </row>
    <row r="61" spans="1:20" ht="15" customHeight="1" x14ac:dyDescent="0.3">
      <c r="A61" s="352"/>
      <c r="B61" s="13"/>
      <c r="C61" s="14"/>
      <c r="D61" s="14"/>
      <c r="E61" s="15"/>
      <c r="F61" s="16">
        <v>45683</v>
      </c>
      <c r="G61" s="17">
        <v>45746</v>
      </c>
      <c r="H61" s="92"/>
      <c r="I61" s="84">
        <v>45750</v>
      </c>
      <c r="J61" s="84">
        <v>45793</v>
      </c>
      <c r="K61" s="85">
        <v>45828</v>
      </c>
      <c r="L61" s="24"/>
      <c r="M61" s="516"/>
    </row>
    <row r="62" spans="1:20" ht="15" customHeight="1" thickBot="1" x14ac:dyDescent="0.35">
      <c r="A62" s="353"/>
      <c r="B62" s="47"/>
      <c r="C62" s="48"/>
      <c r="D62" s="48"/>
      <c r="E62" s="49"/>
      <c r="F62" s="94">
        <v>12</v>
      </c>
      <c r="G62" s="95">
        <v>9</v>
      </c>
      <c r="H62" s="96"/>
      <c r="I62" s="97">
        <f>(I61-I60+1)/7</f>
        <v>0.42857142857142855</v>
      </c>
      <c r="J62" s="97">
        <f>(J61-J60+1)/7</f>
        <v>5.4285714285714288</v>
      </c>
      <c r="K62" s="98">
        <f>(K61-K60+1)/7</f>
        <v>4.7142857142857144</v>
      </c>
      <c r="L62" s="55"/>
      <c r="M62" s="519"/>
    </row>
    <row r="63" spans="1:20" ht="24" customHeight="1" thickBot="1" x14ac:dyDescent="0.35">
      <c r="A63" s="343" t="s">
        <v>10</v>
      </c>
      <c r="B63" s="344"/>
      <c r="C63" s="56">
        <f>SUM(C30:C62)</f>
        <v>95</v>
      </c>
      <c r="D63" s="56">
        <f>SUM(D30:D62)</f>
        <v>57</v>
      </c>
      <c r="E63" s="58">
        <f>SUM(E30:E62)</f>
        <v>152</v>
      </c>
      <c r="F63" s="99" t="s">
        <v>41</v>
      </c>
      <c r="G63" s="99" t="s">
        <v>41</v>
      </c>
      <c r="H63" s="453" t="s">
        <v>42</v>
      </c>
      <c r="I63" s="454"/>
      <c r="J63" s="454"/>
      <c r="K63" s="455"/>
      <c r="L63" s="61">
        <f>AVERAGE(L30:L62)</f>
        <v>11.506493506493504</v>
      </c>
      <c r="M63" s="62" t="s">
        <v>41</v>
      </c>
      <c r="R63" s="5">
        <f>SUM(R30:R62)</f>
        <v>56</v>
      </c>
      <c r="S63" s="5">
        <f t="shared" ref="S63:T63" si="16">SUM(S30:S62)</f>
        <v>40</v>
      </c>
      <c r="T63" s="5">
        <f t="shared" si="16"/>
        <v>96</v>
      </c>
    </row>
    <row r="64" spans="1:20" ht="24" customHeight="1" thickBot="1" x14ac:dyDescent="0.35">
      <c r="A64" s="345" t="s">
        <v>69</v>
      </c>
      <c r="B64" s="346"/>
      <c r="C64" s="57">
        <f>C29+C63</f>
        <v>120</v>
      </c>
      <c r="D64" s="57">
        <f>D29+D63</f>
        <v>113</v>
      </c>
      <c r="E64" s="58">
        <f>E29+E63</f>
        <v>233</v>
      </c>
      <c r="F64" s="99" t="s">
        <v>41</v>
      </c>
      <c r="G64" s="99" t="s">
        <v>41</v>
      </c>
      <c r="H64" s="456" t="s">
        <v>70</v>
      </c>
      <c r="I64" s="457"/>
      <c r="J64" s="457"/>
      <c r="K64" s="458"/>
      <c r="L64" s="61">
        <f>AVERAGE(L29,L63)</f>
        <v>11.524675324675322</v>
      </c>
      <c r="M64" s="62" t="s">
        <v>41</v>
      </c>
    </row>
    <row r="65" spans="1:13" ht="45.75" customHeight="1" x14ac:dyDescent="0.3">
      <c r="A65" s="347" t="s">
        <v>71</v>
      </c>
      <c r="B65" s="347"/>
      <c r="C65" s="347"/>
      <c r="D65" s="347"/>
      <c r="E65" s="347"/>
      <c r="F65" s="347"/>
      <c r="G65" s="347"/>
      <c r="H65" s="347"/>
      <c r="I65" s="347"/>
      <c r="J65" s="347"/>
      <c r="K65" s="347"/>
      <c r="L65" s="347"/>
      <c r="M65" s="347"/>
    </row>
    <row r="66" spans="1:13" x14ac:dyDescent="0.3">
      <c r="I66" s="39"/>
    </row>
    <row r="67" spans="1:13" x14ac:dyDescent="0.3">
      <c r="H67" s="39"/>
      <c r="I67" s="39"/>
    </row>
    <row r="68" spans="1:13" x14ac:dyDescent="0.3">
      <c r="C68" s="39"/>
      <c r="H68" s="39"/>
    </row>
  </sheetData>
  <mergeCells count="63">
    <mergeCell ref="R28:T28"/>
    <mergeCell ref="A64:B64"/>
    <mergeCell ref="H64:K64"/>
    <mergeCell ref="A65:M65"/>
    <mergeCell ref="M48:M50"/>
    <mergeCell ref="M51:M53"/>
    <mergeCell ref="M54:M56"/>
    <mergeCell ref="M57:M59"/>
    <mergeCell ref="M60:M62"/>
    <mergeCell ref="A63:B63"/>
    <mergeCell ref="H63:K63"/>
    <mergeCell ref="A29:B29"/>
    <mergeCell ref="H29:K29"/>
    <mergeCell ref="O29:P29"/>
    <mergeCell ref="A30:A62"/>
    <mergeCell ref="M30:M32"/>
    <mergeCell ref="M33:M35"/>
    <mergeCell ref="M36:M38"/>
    <mergeCell ref="M39:M41"/>
    <mergeCell ref="M42:M44"/>
    <mergeCell ref="M45:M47"/>
    <mergeCell ref="A14:A28"/>
    <mergeCell ref="M14:M16"/>
    <mergeCell ref="M17:M19"/>
    <mergeCell ref="M23:M25"/>
    <mergeCell ref="M26:M28"/>
    <mergeCell ref="F11:F13"/>
    <mergeCell ref="G11:G13"/>
    <mergeCell ref="H11:L11"/>
    <mergeCell ref="M11:M13"/>
    <mergeCell ref="C12:C13"/>
    <mergeCell ref="D12:D13"/>
    <mergeCell ref="H12:L12"/>
    <mergeCell ref="A10:B10"/>
    <mergeCell ref="A11:A13"/>
    <mergeCell ref="B11:B13"/>
    <mergeCell ref="C11:D11"/>
    <mergeCell ref="E11:E13"/>
    <mergeCell ref="A8:B8"/>
    <mergeCell ref="C8:E8"/>
    <mergeCell ref="F8:G8"/>
    <mergeCell ref="H8:I8"/>
    <mergeCell ref="J8:M8"/>
    <mergeCell ref="A5:B5"/>
    <mergeCell ref="C5:E5"/>
    <mergeCell ref="F5:G5"/>
    <mergeCell ref="H5:I5"/>
    <mergeCell ref="J5:M7"/>
    <mergeCell ref="A6:B6"/>
    <mergeCell ref="C6:E6"/>
    <mergeCell ref="F6:G6"/>
    <mergeCell ref="H6:I6"/>
    <mergeCell ref="A7:B7"/>
    <mergeCell ref="C7:E7"/>
    <mergeCell ref="F7:G7"/>
    <mergeCell ref="H7:I7"/>
    <mergeCell ref="A1:M1"/>
    <mergeCell ref="A3:B3"/>
    <mergeCell ref="A4:B4"/>
    <mergeCell ref="C4:E4"/>
    <mergeCell ref="F4:G4"/>
    <mergeCell ref="H4:I4"/>
    <mergeCell ref="J4:M4"/>
  </mergeCells>
  <phoneticPr fontId="2" type="noConversion"/>
  <printOptions horizontalCentered="1"/>
  <pageMargins left="0.31496062992125984" right="0.31496062992125984" top="0.74803149606299213" bottom="0.39370078740157483" header="0.31496062992125984" footer="0.31496062992125984"/>
  <pageSetup paperSize="9" scale="62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5FBF-942E-4C43-B56C-68397AE67845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14</vt:i4>
      </vt:variant>
    </vt:vector>
  </HeadingPairs>
  <TitlesOfParts>
    <vt:vector size="29" baseType="lpstr">
      <vt:lpstr>260507</vt:lpstr>
      <vt:lpstr>260406</vt:lpstr>
      <vt:lpstr>260311</vt:lpstr>
      <vt:lpstr>260220</vt:lpstr>
      <vt:lpstr>260109</vt:lpstr>
      <vt:lpstr>2025년_251231</vt:lpstr>
      <vt:lpstr>2026년_251126</vt:lpstr>
      <vt:lpstr>251030</vt:lpstr>
      <vt:lpstr>250805</vt:lpstr>
      <vt:lpstr>250714</vt:lpstr>
      <vt:lpstr>250625</vt:lpstr>
      <vt:lpstr>250526</vt:lpstr>
      <vt:lpstr>250516</vt:lpstr>
      <vt:lpstr>24.12.31</vt:lpstr>
      <vt:lpstr>Sheet1</vt:lpstr>
      <vt:lpstr>'2025년_251231'!Print_Area</vt:lpstr>
      <vt:lpstr>'2026년_251126'!Print_Area</vt:lpstr>
      <vt:lpstr>'24.12.31'!Print_Area</vt:lpstr>
      <vt:lpstr>'250516'!Print_Area</vt:lpstr>
      <vt:lpstr>'250526'!Print_Area</vt:lpstr>
      <vt:lpstr>'250625'!Print_Area</vt:lpstr>
      <vt:lpstr>'250714'!Print_Area</vt:lpstr>
      <vt:lpstr>'250805'!Print_Area</vt:lpstr>
      <vt:lpstr>'251030'!Print_Area</vt:lpstr>
      <vt:lpstr>'260109'!Print_Area</vt:lpstr>
      <vt:lpstr>'260220'!Print_Area</vt:lpstr>
      <vt:lpstr>'260311'!Print_Area</vt:lpstr>
      <vt:lpstr>'260406'!Print_Area</vt:lpstr>
      <vt:lpstr>'260507'!Print_Area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양영기 교육지원팀(제주)(직원)</dc:creator>
  <cp:lastModifiedBy>양영기 교육지원팀(정석)(직원)</cp:lastModifiedBy>
  <cp:lastPrinted>2026-05-07T23:17:17Z</cp:lastPrinted>
  <dcterms:created xsi:type="dcterms:W3CDTF">2025-01-09T00:52:19Z</dcterms:created>
  <dcterms:modified xsi:type="dcterms:W3CDTF">2026-05-09T07:55:28Z</dcterms:modified>
</cp:coreProperties>
</file>